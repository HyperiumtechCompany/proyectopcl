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83DE26-A21F-4B7B-A698-9303D1E13BDC}" xr6:coauthVersionLast="47" xr6:coauthVersionMax="47" xr10:uidLastSave="{00000000-0000-0000-0000-000000000000}"/>
  <bookViews>
    <workbookView xWindow="-108" yWindow="-108" windowWidth="23256" windowHeight="12456" tabRatio="824" firstSheet="1" activeTab="1" xr2:uid="{00000000-000D-0000-FFFF-FFFF00000000}"/>
  </bookViews>
  <sheets>
    <sheet name="res %" sheetId="105" state="hidden" r:id="rId1"/>
    <sheet name="FT" sheetId="121" r:id="rId2"/>
    <sheet name="PRESUPUESTO" sheetId="128" r:id="rId3"/>
    <sheet name="CALEN. PROG." sheetId="120" r:id="rId4"/>
    <sheet name="METRADOS" sheetId="175" r:id="rId5"/>
    <sheet name="CALEN. VALO." sheetId="136" r:id="rId6"/>
    <sheet name="VAL. MENSUAL" sheetId="179" r:id="rId7"/>
    <sheet name="PROG VS. EJEC" sheetId="178" r:id="rId8"/>
    <sheet name="CONTROL GEN. AVAN. OBRA." sheetId="173" r:id="rId9"/>
    <sheet name="CURVA S" sheetId="114" r:id="rId10"/>
    <sheet name="CONTROL AVAN. FISICO" sheetId="174" r:id="rId11"/>
    <sheet name="CONTROL FINANCIERO" sheetId="180" r:id="rId12"/>
    <sheet name="RESUMEN VAL." sheetId="152" r:id="rId13"/>
    <sheet name="R.F.C" sheetId="134" r:id="rId14"/>
    <sheet name="R PAGO MENSUAL" sheetId="168" r:id="rId15"/>
    <sheet name="PAGOS ACUMULADOS" sheetId="177" r:id="rId16"/>
    <sheet name="CONTROL DE PAGOS" sheetId="170" r:id="rId17"/>
    <sheet name="RH-EM" sheetId="131" r:id="rId18"/>
    <sheet name="resumen 3" sheetId="42" state="hidden" r:id="rId19"/>
    <sheet name="resumen 2" sheetId="35" state="hidden" r:id="rId20"/>
    <sheet name="Hoja2" sheetId="25" state="hidden" r:id="rId21"/>
    <sheet name="PROGRAMADO" sheetId="109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g" localSheetId="10">#REF!</definedName>
    <definedName name="\g" localSheetId="11">#REF!</definedName>
    <definedName name="\g" localSheetId="8">#REF!</definedName>
    <definedName name="\g" localSheetId="6">#REF!</definedName>
    <definedName name="\g">#REF!</definedName>
    <definedName name="___________MES3" localSheetId="3">[1]DATOS!#REF!</definedName>
    <definedName name="___________MES3" localSheetId="5">[1]DATOS!#REF!</definedName>
    <definedName name="___________MES3" localSheetId="4">[1]DATOS!#REF!</definedName>
    <definedName name="___________MES3" localSheetId="7">[1]DATOS!#REF!</definedName>
    <definedName name="___________MES3" localSheetId="0">[1]DATOS!#REF!</definedName>
    <definedName name="___________MES3" localSheetId="6">[1]DATOS!#REF!</definedName>
    <definedName name="___________MES3">[1]DATOS!#REF!</definedName>
    <definedName name="__________MES3" localSheetId="3">[1]DATOS!#REF!</definedName>
    <definedName name="__________MES3" localSheetId="5">[1]DATOS!#REF!</definedName>
    <definedName name="__________MES3" localSheetId="4">[1]DATOS!#REF!</definedName>
    <definedName name="__________MES3" localSheetId="7">[1]DATOS!#REF!</definedName>
    <definedName name="__________MES3" localSheetId="0">[1]DATOS!#REF!</definedName>
    <definedName name="__________MES3" localSheetId="6">[1]DATOS!#REF!</definedName>
    <definedName name="__________MES3">[1]DATOS!#REF!</definedName>
    <definedName name="________MES3" localSheetId="3">[1]DATOS!#REF!</definedName>
    <definedName name="________MES3" localSheetId="5">[1]DATOS!#REF!</definedName>
    <definedName name="________MES3" localSheetId="4">[1]DATOS!#REF!</definedName>
    <definedName name="________MES3" localSheetId="7">[1]DATOS!#REF!</definedName>
    <definedName name="________MES3" localSheetId="0">[1]DATOS!#REF!</definedName>
    <definedName name="________MES3" localSheetId="6">[1]DATOS!#REF!</definedName>
    <definedName name="________MES3">[1]DATOS!#REF!</definedName>
    <definedName name="_______MES3" localSheetId="3">[1]DATOS!#REF!</definedName>
    <definedName name="_______MES3" localSheetId="5">[1]DATOS!#REF!</definedName>
    <definedName name="_______MES3" localSheetId="4">[1]DATOS!#REF!</definedName>
    <definedName name="_______MES3" localSheetId="7">[1]DATOS!#REF!</definedName>
    <definedName name="_______MES3" localSheetId="0">[1]DATOS!#REF!</definedName>
    <definedName name="_______MES3" localSheetId="6">[1]DATOS!#REF!</definedName>
    <definedName name="_______MES3">[1]DATOS!#REF!</definedName>
    <definedName name="______MES3" localSheetId="0">[1]DATOS!#REF!</definedName>
    <definedName name="_____MES1">[15]DATOS!$C$22</definedName>
    <definedName name="_____MES2">[1]DATOS!$C$24</definedName>
    <definedName name="____MES1">[1]DATOS!$C$23</definedName>
    <definedName name="____MES2">[1]DATOS!$C$24</definedName>
    <definedName name="___LAS1">#REF!</definedName>
    <definedName name="___LAS2">#REF!</definedName>
    <definedName name="___MES1">[1]DATOS!$C$23</definedName>
    <definedName name="___MES2">[1]DATOS!$C$24</definedName>
    <definedName name="___MES3">[16]DATOS!$C$22</definedName>
    <definedName name="___VMV1">#REF!</definedName>
    <definedName name="___VMV2">#REF!</definedName>
    <definedName name="__LAS1">#REF!</definedName>
    <definedName name="__LAS2">#REF!</definedName>
    <definedName name="__MES1">[1]DATOS!$C$23</definedName>
    <definedName name="__MES2">[1]DATOS!$C$24</definedName>
    <definedName name="__MES3" localSheetId="3">[1]DATOS!#REF!</definedName>
    <definedName name="__MES3" localSheetId="5">[1]DATOS!#REF!</definedName>
    <definedName name="__MES3" localSheetId="4">[1]DATOS!#REF!</definedName>
    <definedName name="__MES3" localSheetId="7">[1]DATOS!#REF!</definedName>
    <definedName name="__MES3" localSheetId="6">[1]DATOS!#REF!</definedName>
    <definedName name="__MES3">[16]DATOS!$C$22</definedName>
    <definedName name="__VMV1">#REF!</definedName>
    <definedName name="__VMV2">#REF!</definedName>
    <definedName name="_xlnm._FilterDatabase" localSheetId="3" hidden="1">'CALEN. PROG.'!$B$12:$W$155</definedName>
    <definedName name="_xlnm._FilterDatabase" localSheetId="5" hidden="1">'CALEN. VALO.'!$B$12:$W$84</definedName>
    <definedName name="_xlnm._FilterDatabase" localSheetId="4" hidden="1">METRADOS!$B$11:$V$154</definedName>
    <definedName name="_xlnm._FilterDatabase" localSheetId="2" hidden="1">PRESUPUESTO!$B$11:$N$83</definedName>
    <definedName name="_xlnm._FilterDatabase" localSheetId="7" hidden="1">'PROG VS. EJEC'!$B$12:$Q$162</definedName>
    <definedName name="_xlnm._FilterDatabase" localSheetId="0" hidden="1">'res %'!#REF!</definedName>
    <definedName name="_xlnm._FilterDatabase" localSheetId="6" hidden="1">'VAL. MENSUAL'!$B$12:$AD$155</definedName>
    <definedName name="_LAS1">#REF!</definedName>
    <definedName name="_LAS2">#REF!</definedName>
    <definedName name="_MES1">[1]DATOS!$C$23</definedName>
    <definedName name="_MES2">[2]DATOS!$C$23</definedName>
    <definedName name="_MES3">[2]DATOS!$C$24</definedName>
    <definedName name="_VMV1">#REF!</definedName>
    <definedName name="_VMV2">#REF!</definedName>
    <definedName name="A" localSheetId="3">#REF!</definedName>
    <definedName name="A" localSheetId="5">#REF!</definedName>
    <definedName name="A" localSheetId="4">#REF!</definedName>
    <definedName name="A" localSheetId="7">#REF!</definedName>
    <definedName name="A" localSheetId="0">#REF!</definedName>
    <definedName name="A" localSheetId="6">#REF!</definedName>
    <definedName name="A">#REF!</definedName>
    <definedName name="aa" localSheetId="0">[1]DATOS!#REF!</definedName>
    <definedName name="aa" localSheetId="6">[1]DATOS!#REF!</definedName>
    <definedName name="aa">[1]DATOS!#REF!</definedName>
    <definedName name="AAAA" localSheetId="6">#REF!</definedName>
    <definedName name="AAAA">#REF!</definedName>
    <definedName name="aaaaa" localSheetId="3">#REF!</definedName>
    <definedName name="aaaaa" localSheetId="5">#REF!</definedName>
    <definedName name="aaaaa" localSheetId="4">#REF!</definedName>
    <definedName name="aaaaa" localSheetId="7">#REF!</definedName>
    <definedName name="aaaaa" localSheetId="0">#REF!</definedName>
    <definedName name="aaaaa" localSheetId="6">#REF!</definedName>
    <definedName name="aaaaa">#REF!</definedName>
    <definedName name="ADDObra">[3]DatGen!$E$31</definedName>
    <definedName name="AIU">[17]Hoja1!$H$13</definedName>
    <definedName name="ANT">[4]DATOS!$B$28:$J$28</definedName>
    <definedName name="ANTERIOR" localSheetId="6">#REF!</definedName>
    <definedName name="ANTERIOR">#REF!</definedName>
    <definedName name="AP" localSheetId="6">#REF!</definedName>
    <definedName name="AP">#REF!</definedName>
    <definedName name="APLAZO">[18]DATOS!$B$20</definedName>
    <definedName name="AR" localSheetId="6">#REF!</definedName>
    <definedName name="AR">#REF!</definedName>
    <definedName name="_xlnm.Print_Area" localSheetId="3">'CALEN. PROG.'!$A$1:$Q$164</definedName>
    <definedName name="_xlnm.Print_Area" localSheetId="5">'CALEN. VALO.'!$A$1:$Q$164</definedName>
    <definedName name="_xlnm.Print_Area" localSheetId="10">'CONTROL AVAN. FISICO'!$A$1:$M$51</definedName>
    <definedName name="_xlnm.Print_Area" localSheetId="16">'CONTROL DE PAGOS'!$A$1:$S$35</definedName>
    <definedName name="_xlnm.Print_Area" localSheetId="11">'CONTROL FINANCIERO'!$A$1:$H$47</definedName>
    <definedName name="_xlnm.Print_Area" localSheetId="8">'CONTROL GEN. AVAN. OBRA.'!$A$1:$Q$15</definedName>
    <definedName name="_xlnm.Print_Area" localSheetId="9">'CURVA S'!$A$1:$L$38</definedName>
    <definedName name="_xlnm.Print_Area" localSheetId="1">FT!$B$1:$F$60</definedName>
    <definedName name="_xlnm.Print_Area" localSheetId="4">METRADOS!$A$1:$P$155</definedName>
    <definedName name="_xlnm.Print_Area" localSheetId="15">'PAGOS ACUMULADOS'!$A$1:$J$54</definedName>
    <definedName name="_xlnm.Print_Area" localSheetId="2">PRESUPUESTO!$A$1:$H$161</definedName>
    <definedName name="_xlnm.Print_Area" localSheetId="7">'PROG VS. EJEC'!$A$1:$N$163</definedName>
    <definedName name="_xlnm.Print_Area" localSheetId="14">'R PAGO MENSUAL'!$A$1:$F$51</definedName>
    <definedName name="_xlnm.Print_Area" localSheetId="13">'R.F.C'!$A$1:$G$34</definedName>
    <definedName name="_xlnm.Print_Area" localSheetId="0">'res %'!$A$1:$K$28</definedName>
    <definedName name="_xlnm.Print_Area" localSheetId="12">'RESUMEN VAL.'!$A$1:$R$32</definedName>
    <definedName name="_xlnm.Print_Area" localSheetId="17">'RH-EM'!$A$1:$AM$22</definedName>
    <definedName name="_xlnm.Print_Area" localSheetId="6">'VAL. MENSUAL'!$A$1:$X$164</definedName>
    <definedName name="ARQ">[4]DATOS!$B$22:$J$22</definedName>
    <definedName name="BASE_PRES">[2]DATOS!$C$13</definedName>
    <definedName name="_xlnm.Database" localSheetId="3">#REF!</definedName>
    <definedName name="_xlnm.Database" localSheetId="5">#REF!</definedName>
    <definedName name="_xlnm.Database" localSheetId="4">#REF!</definedName>
    <definedName name="_xlnm.Database" localSheetId="7">#REF!</definedName>
    <definedName name="_xlnm.Database" localSheetId="0">#REF!</definedName>
    <definedName name="_xlnm.Database" localSheetId="6">#REF!</definedName>
    <definedName name="_xlnm.Database">#REF!</definedName>
    <definedName name="BDMesValoriz">#REF!</definedName>
    <definedName name="BDPresup">#REF!</definedName>
    <definedName name="BuiltIn_Print_Area" localSheetId="3">#REF!</definedName>
    <definedName name="BuiltIn_Print_Area" localSheetId="5">#REF!</definedName>
    <definedName name="BuiltIn_Print_Area" localSheetId="4">#REF!</definedName>
    <definedName name="BuiltIn_Print_Area" localSheetId="7">#REF!</definedName>
    <definedName name="BuiltIn_Print_Area" localSheetId="0">#REF!</definedName>
    <definedName name="BuiltIn_Print_Area" localSheetId="6">#REF!</definedName>
    <definedName name="BuiltIn_Print_Area">#REF!</definedName>
    <definedName name="BuiltIn_Print_Area___1">#REF!</definedName>
    <definedName name="BuiltIn_Print_Area___2">"$#ref!.$B$1:$O$306"</definedName>
    <definedName name="BuiltIn_Print_Titles___1">#REF!</definedName>
    <definedName name="BuiltIn_Print_Titles___2">"$#ref!.$A$2:$IV$16"</definedName>
    <definedName name="cabrera">[5]DATOS!$C$15</definedName>
    <definedName name="CCC">#REF!</definedName>
    <definedName name="cdr" localSheetId="0">[1]DATOS!#REF!</definedName>
    <definedName name="cdr">[1]DATOS!#REF!</definedName>
    <definedName name="CONSOLIDADOF3">#REF!</definedName>
    <definedName name="ContObra">[3]DatGen!$E$21</definedName>
    <definedName name="CONTRATISTA" localSheetId="10">#N/A</definedName>
    <definedName name="CONTRATISTA" localSheetId="11">#N/A</definedName>
    <definedName name="CONTRATISTA" localSheetId="8">#N/A</definedName>
    <definedName name="CONTRATISTA" localSheetId="9">#N/A</definedName>
    <definedName name="CONTRATISTA">[2]DATOS!$C$8</definedName>
    <definedName name="CONTRATO">[2]DATOS!$C$7</definedName>
    <definedName name="ContSup">[3]DatGen!$E$42</definedName>
    <definedName name="COORDINADOR">[3]DatGen!$E$10</definedName>
    <definedName name="D" localSheetId="3">#REF!</definedName>
    <definedName name="D" localSheetId="5">#REF!</definedName>
    <definedName name="D" localSheetId="4">#REF!</definedName>
    <definedName name="D" localSheetId="7">#REF!</definedName>
    <definedName name="D" localSheetId="0">#REF!</definedName>
    <definedName name="D" localSheetId="6">#REF!</definedName>
    <definedName name="D">#REF!</definedName>
    <definedName name="Datos">[19]Datos!$A$2:$F$30</definedName>
    <definedName name="ddd">#REF!</definedName>
    <definedName name="Departamento">[3]DatGen!$E$15</definedName>
    <definedName name="DESTINO">'[6]IND CREPCO'!$C$5:$T$21</definedName>
    <definedName name="Dirección">[3]DatGen!$E$14</definedName>
    <definedName name="Distrito">[3]DatGen!$E$17</definedName>
    <definedName name="DJ">#N/A</definedName>
    <definedName name="DRA_PIURA___2">#REF!</definedName>
    <definedName name="DRA_PIURA___3">#REF!</definedName>
    <definedName name="DRA_PIURA___4">#REF!</definedName>
    <definedName name="DRA_PIURA___5">#REF!</definedName>
    <definedName name="DRA_PIURA1">#REF!</definedName>
    <definedName name="EJECUCION">[7]DATOS!$C$11</definedName>
    <definedName name="EJECUTA">[7]DATOS!$C$9</definedName>
    <definedName name="ENCABEZADO">#REF!</definedName>
    <definedName name="EST">[4]DATOS!$B$21:$J$21</definedName>
    <definedName name="Excel_BuiltIn_Print_Titles_1">#REF!</definedName>
    <definedName name="Excel_BuiltIn_Print_Titles_2">#REF!</definedName>
    <definedName name="Excel_BuiltIn_Print_Titles_4">#REF!</definedName>
    <definedName name="Excel_BuiltIn_Print_Titles_5">#REF!</definedName>
    <definedName name="FACT" localSheetId="6">#REF!</definedName>
    <definedName name="FACT">#REF!</definedName>
    <definedName name="factcorre" localSheetId="6">#REF!</definedName>
    <definedName name="factcorre">#REF!</definedName>
    <definedName name="FACTOR1">[20]NO!#REF!</definedName>
    <definedName name="FACTOR10">[20]NO!#REF!</definedName>
    <definedName name="FACTOR11">[20]NO!#REF!</definedName>
    <definedName name="FACTURACIONES_SALDO_DE_OBRA_IPC_Lista">#REF!</definedName>
    <definedName name="FADDObra">[3]DatGen!$E$33</definedName>
    <definedName name="FADMObra">[3]DatGen!$E$34</definedName>
    <definedName name="FContObra">[3]DatGen!$E$24</definedName>
    <definedName name="FContSup">[3]DatGen!$E$45</definedName>
    <definedName name="FECHA">#REF!</definedName>
    <definedName name="FECHA_EXP">[18]DATOS!$B$9</definedName>
    <definedName name="FECHA_VAL">[18]DATOS!$B$13</definedName>
    <definedName name="FechaET">[3]DatGen!$E$35</definedName>
    <definedName name="FG">[4]DATOS!$B$29:$J$29</definedName>
    <definedName name="FINANCIA">[7]DATOS!$C$10</definedName>
    <definedName name="FinCObra">#N/A</definedName>
    <definedName name="FORM_01">[21]DATOS!$B$25</definedName>
    <definedName name="FORM_02">[21]DATOS!$B$26</definedName>
    <definedName name="FORM_03">[21]DATOS!$B$27</definedName>
    <definedName name="FORM_04">[21]DATOS!$B$28</definedName>
    <definedName name="FORMULA_01">#REF!</definedName>
    <definedName name="FR">[18]DATOS!$B$8</definedName>
    <definedName name="GERENCIA">[7]DATOS!$C$5</definedName>
    <definedName name="GG" localSheetId="10">#REF!</definedName>
    <definedName name="GG" localSheetId="11">#REF!</definedName>
    <definedName name="GG" localSheetId="8">#REF!</definedName>
    <definedName name="GG" localSheetId="6">#REF!</definedName>
    <definedName name="GG">#REF!</definedName>
    <definedName name="GL">[4]DATOS!$B$30:$J$30</definedName>
    <definedName name="GOBIERNO">[7]DATOS!$C$4</definedName>
    <definedName name="HECHO">#REF!</definedName>
    <definedName name="hector">[5]DATOS!$C$12</definedName>
    <definedName name="hhh">[1]DATOS!$C$17</definedName>
    <definedName name="HOJA1">#REF!</definedName>
    <definedName name="hoja12">#REF!</definedName>
    <definedName name="hoja7">#REF!</definedName>
    <definedName name="hola">[8]DATOS!$B$21:$J$21</definedName>
    <definedName name="I">#REF!</definedName>
    <definedName name="Iae">[18]DATOS!$E$17</definedName>
    <definedName name="IDOBRA">#N/A</definedName>
    <definedName name="IE">[4]DATOS!$B$24:$J$24</definedName>
    <definedName name="if" localSheetId="3">#REF!</definedName>
    <definedName name="if" localSheetId="5">#REF!</definedName>
    <definedName name="if" localSheetId="4">#REF!</definedName>
    <definedName name="if" localSheetId="7">#REF!</definedName>
    <definedName name="if" localSheetId="0">#REF!</definedName>
    <definedName name="if" localSheetId="6">#REF!</definedName>
    <definedName name="if">#REF!</definedName>
    <definedName name="IGV">#REF!</definedName>
    <definedName name="IGVOBRA">[9]DatGen!$E$30</definedName>
    <definedName name="Imprimir_área_IM">"$hojametr.$a$#ref!:$hojametr.$v$#ref!"</definedName>
    <definedName name="INICIO">[2]DATOS!$C$16</definedName>
    <definedName name="IniCObra">#N/A</definedName>
    <definedName name="IniCSup">#N/A</definedName>
    <definedName name="IO">[18]DATOS!$E$16</definedName>
    <definedName name="IS">[4]DATOS!$B$23:$J$23</definedName>
    <definedName name="KARLA">#REF!</definedName>
    <definedName name="LICITACION">[2]DATOS!$C$6</definedName>
    <definedName name="MAYO">[15]DATOS!#REF!</definedName>
    <definedName name="mcnerkd">[1]DATOS!#REF!</definedName>
    <definedName name="MCObra">#N/A</definedName>
    <definedName name="MCSup">#N/A</definedName>
    <definedName name="MES" localSheetId="10">#REF!</definedName>
    <definedName name="MES" localSheetId="11">#REF!</definedName>
    <definedName name="MES" localSheetId="8">#REF!</definedName>
    <definedName name="MES" localSheetId="9">#REF!</definedName>
    <definedName name="MES">[2]DATOS!$C$19</definedName>
    <definedName name="metrados">#REF!</definedName>
    <definedName name="MM" localSheetId="3">[1]DATOS!#REF!</definedName>
    <definedName name="MM" localSheetId="5">[1]DATOS!#REF!</definedName>
    <definedName name="MM" localSheetId="4">[1]DATOS!#REF!</definedName>
    <definedName name="MM" localSheetId="7">[1]DATOS!#REF!</definedName>
    <definedName name="MM" localSheetId="0">[1]DATOS!#REF!</definedName>
    <definedName name="MM" localSheetId="6">[1]DATOS!#REF!</definedName>
    <definedName name="MM">[1]DATOS!#REF!</definedName>
    <definedName name="MonPlazo">#N/A</definedName>
    <definedName name="MONTO">[2]DATOS!$C$12</definedName>
    <definedName name="MRObra">#N/A</definedName>
    <definedName name="MRSup">[3]DatGen!$E$47</definedName>
    <definedName name="MtoxInfoFin">#N/A</definedName>
    <definedName name="MtoxPlazo">#N/A</definedName>
    <definedName name="MULTA">[4]DATOS!$B$31:$J$31</definedName>
    <definedName name="N_01">[18]DATOS!$A$25</definedName>
    <definedName name="OBRA" localSheetId="10">#N/A</definedName>
    <definedName name="OBRA" localSheetId="11">#N/A</definedName>
    <definedName name="OBRA" localSheetId="8">#N/A</definedName>
    <definedName name="OBRA" localSheetId="9">#N/A</definedName>
    <definedName name="OBRA">[2]DATOS!$C$10</definedName>
    <definedName name="obras">[22]DATOS!$C$10</definedName>
    <definedName name="P" localSheetId="6">#REF!</definedName>
    <definedName name="P">#REF!</definedName>
    <definedName name="P.BASE">[18]DATOS!$B$6</definedName>
    <definedName name="PIURA">#REF!</definedName>
    <definedName name="PLAZO" localSheetId="10">#N/A</definedName>
    <definedName name="PLAZO" localSheetId="11">#N/A</definedName>
    <definedName name="PLAZO" localSheetId="8">#N/A</definedName>
    <definedName name="PLAZO" localSheetId="9">#N/A</definedName>
    <definedName name="PLAZO">[2]DATOS!$C$15</definedName>
    <definedName name="PlazoSup">#N/A</definedName>
    <definedName name="PRECIOS_A">[2]DATOS!$C$14</definedName>
    <definedName name="ProcObra">[3]DatGen!$E$20</definedName>
    <definedName name="PROPIETARIO">[2]DATOS!$C$5</definedName>
    <definedName name="Provincia">[3]DatGen!$E$16</definedName>
    <definedName name="PROYECTO">#REF!</definedName>
    <definedName name="Q">[22]DATOS!$C$17</definedName>
    <definedName name="QBT" localSheetId="6">#REF!</definedName>
    <definedName name="QBT">#REF!</definedName>
    <definedName name="qdxz" localSheetId="0">#REF!</definedName>
    <definedName name="qdxz" localSheetId="6">#REF!</definedName>
    <definedName name="qdxz">#REF!</definedName>
    <definedName name="QUIVILLA">[15]DATOS!#REF!</definedName>
    <definedName name="RAHUI">#REF!</definedName>
    <definedName name="REG">[4]DATOS!$B$27:$J$27</definedName>
    <definedName name="REL_EFECTIVO">[21]DATOS!$B$16</definedName>
    <definedName name="REVISADO">#REF!</definedName>
    <definedName name="RR" localSheetId="6">#REF!</definedName>
    <definedName name="RR">#REF!</definedName>
    <definedName name="rrr">[4]DATOS!$B$19:$J$19</definedName>
    <definedName name="RRRR" localSheetId="6">#REF!</definedName>
    <definedName name="RRRR">#REF!</definedName>
    <definedName name="RRRRRR" localSheetId="6">#REF!</definedName>
    <definedName name="RRRRRR">#REF!</definedName>
    <definedName name="RUC">[10]Datos!$C$10</definedName>
    <definedName name="Sin_nombre">#REF!</definedName>
    <definedName name="SUBGERENCIA">[7]DATOS!$C$6</definedName>
    <definedName name="SUPERVISION" localSheetId="10">[11]DATOS!$C$13</definedName>
    <definedName name="SUPERVISION" localSheetId="11">[11]DATOS!$C$13</definedName>
    <definedName name="SUPERVISION" localSheetId="8">[11]DATOS!$C$13</definedName>
    <definedName name="SUPERVISION" localSheetId="9">[11]DATOS!$C$13</definedName>
    <definedName name="SUPERVISION">[2]DATOS!$C$9</definedName>
    <definedName name="SUPERVISOR">#N/A</definedName>
    <definedName name="TABLA">'[1]IND CREPCO'!$C$14:$U$29</definedName>
    <definedName name="TERMINO">[2]DATOS!$C$17</definedName>
    <definedName name="TERRENO">[7]DATOS!$C$17</definedName>
    <definedName name="_xlnm.Print_Titles" localSheetId="3">'CALEN. PROG.'!$1:$10</definedName>
    <definedName name="_xlnm.Print_Titles" localSheetId="5">'CALEN. VALO.'!$1:$11</definedName>
    <definedName name="_xlnm.Print_Titles" localSheetId="10">'CONTROL AVAN. FISICO'!$1:$8</definedName>
    <definedName name="_xlnm.Print_Titles" localSheetId="9">'CURVA S'!$1:$8</definedName>
    <definedName name="_xlnm.Print_Titles" localSheetId="1">FT!$1:$2</definedName>
    <definedName name="_xlnm.Print_Titles" localSheetId="4">METRADOS!$1:$10</definedName>
    <definedName name="_xlnm.Print_Titles" localSheetId="2">PRESUPUESTO!$1:$11</definedName>
    <definedName name="_xlnm.Print_Titles" localSheetId="7">'PROG VS. EJEC'!$1:$10</definedName>
    <definedName name="_xlnm.Print_Titles" localSheetId="0">'res %'!$2:$2</definedName>
    <definedName name="_xlnm.Print_Titles" localSheetId="6">'VAL. MENSUAL'!$1:$10</definedName>
    <definedName name="TRGHSREHS" localSheetId="6">#REF!</definedName>
    <definedName name="TRGHSREHS">#REF!</definedName>
    <definedName name="tt">[4]DATOS!$B$27:$J$27</definedName>
    <definedName name="UI">[15]DATOS!#REF!</definedName>
    <definedName name="UTIL" localSheetId="6">#REF!</definedName>
    <definedName name="UTIL">#REF!</definedName>
    <definedName name="VAL">[4]DATOS!$B$19:$J$19</definedName>
    <definedName name="VALORIZACION">[21]DATOS!$B$12</definedName>
    <definedName name="VALORIZACION__DE__APORTE_COMUNAL__N__03">#REF!</definedName>
    <definedName name="W">[15]DATOS!#REF!</definedName>
    <definedName name="WAGER">[15]DATOS!#REF!</definedName>
    <definedName name="ww">#REF!</definedName>
    <definedName name="WWW" localSheetId="6">#REF!</definedName>
    <definedName name="WWW">#REF!</definedName>
    <definedName name="xxx" localSheetId="3">#REF!</definedName>
    <definedName name="xxx" localSheetId="5">#REF!</definedName>
    <definedName name="xxx" localSheetId="4">#REF!</definedName>
    <definedName name="xxx" localSheetId="7">#REF!</definedName>
    <definedName name="xxx" localSheetId="0">#REF!</definedName>
    <definedName name="xxx" localSheetId="6">#REF!</definedName>
    <definedName name="xxx">#REF!</definedName>
    <definedName name="XXXX">[22]DATOS!$C$10</definedName>
    <definedName name="Y">#REF!</definedName>
    <definedName name="YU" localSheetId="3">#REF!</definedName>
    <definedName name="YU" localSheetId="5">#REF!</definedName>
    <definedName name="YU" localSheetId="4">#REF!</definedName>
    <definedName name="YU" localSheetId="7">#REF!</definedName>
    <definedName name="YU" localSheetId="0">#REF!</definedName>
    <definedName name="YU" localSheetId="6">#REF!</definedName>
    <definedName name="YU">#REF!</definedName>
    <definedName name="YYY">[22]DATOS!$C$6</definedName>
    <definedName name="ZONA1">#REF!</definedName>
    <definedName name="ZONA2">#REF!</definedName>
    <definedName name="ZONA3">#REF!</definedName>
    <definedName name="ZONA4">#REF!</definedName>
    <definedName name="ZONA5">#REF!</definedName>
    <definedName name="ZONA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14" l="1"/>
  <c r="D35" i="114"/>
  <c r="H35" i="114"/>
  <c r="K35" i="114"/>
  <c r="I156" i="178" l="1"/>
  <c r="O145" i="179"/>
  <c r="E44" i="121" l="1"/>
  <c r="C7" i="131"/>
  <c r="C6" i="131"/>
  <c r="C5" i="131"/>
  <c r="C4" i="131"/>
  <c r="C3" i="131"/>
  <c r="C7" i="170"/>
  <c r="C6" i="170"/>
  <c r="C5" i="170"/>
  <c r="C4" i="170"/>
  <c r="C7" i="177"/>
  <c r="C6" i="177"/>
  <c r="C5" i="177"/>
  <c r="C4" i="177"/>
  <c r="C7" i="168"/>
  <c r="C6" i="168"/>
  <c r="C5" i="168"/>
  <c r="C4" i="168"/>
  <c r="C7" i="134"/>
  <c r="C6" i="134"/>
  <c r="C5" i="134"/>
  <c r="C4" i="134"/>
  <c r="C8" i="134"/>
  <c r="C8" i="152"/>
  <c r="C7" i="152"/>
  <c r="C6" i="152"/>
  <c r="C5" i="152"/>
  <c r="C7" i="180"/>
  <c r="C6" i="180"/>
  <c r="C5" i="180"/>
  <c r="C4" i="180"/>
  <c r="C7" i="174"/>
  <c r="C6" i="174"/>
  <c r="C5" i="174"/>
  <c r="C4" i="174"/>
  <c r="C7" i="114"/>
  <c r="C6" i="114"/>
  <c r="C5" i="114"/>
  <c r="C4" i="114"/>
  <c r="C7" i="173"/>
  <c r="C6" i="173"/>
  <c r="C5" i="173"/>
  <c r="C4" i="173"/>
  <c r="C7" i="178"/>
  <c r="C6" i="178"/>
  <c r="C5" i="178"/>
  <c r="C4" i="178"/>
  <c r="C8" i="179"/>
  <c r="C7" i="179"/>
  <c r="C6" i="179"/>
  <c r="C5" i="179"/>
  <c r="C7" i="136"/>
  <c r="C6" i="136"/>
  <c r="C5" i="136"/>
  <c r="C4" i="136"/>
  <c r="C7" i="175"/>
  <c r="C6" i="175"/>
  <c r="C5" i="175"/>
  <c r="C4" i="175"/>
  <c r="C7" i="120"/>
  <c r="C6" i="120"/>
  <c r="C5" i="120"/>
  <c r="C4" i="120"/>
  <c r="C8" i="128"/>
  <c r="C7" i="128"/>
  <c r="C6" i="128"/>
  <c r="K157" i="179" l="1"/>
  <c r="M138" i="179"/>
  <c r="M136" i="179"/>
  <c r="M135" i="179"/>
  <c r="M132" i="179"/>
  <c r="M133" i="179"/>
  <c r="M131" i="179"/>
  <c r="M120" i="179"/>
  <c r="M121" i="179"/>
  <c r="M122" i="179"/>
  <c r="M119" i="179"/>
  <c r="M115" i="179"/>
  <c r="M116" i="179"/>
  <c r="M117" i="179"/>
  <c r="M114" i="179"/>
  <c r="M111" i="179"/>
  <c r="M108" i="179"/>
  <c r="M109" i="179"/>
  <c r="M107" i="179"/>
  <c r="M105" i="179"/>
  <c r="M104" i="179"/>
  <c r="M98" i="179"/>
  <c r="M99" i="179"/>
  <c r="M100" i="179"/>
  <c r="M101" i="179"/>
  <c r="M97" i="179"/>
  <c r="M93" i="179"/>
  <c r="M94" i="179"/>
  <c r="M95" i="179"/>
  <c r="M92" i="179"/>
  <c r="M87" i="179"/>
  <c r="M88" i="179"/>
  <c r="M89" i="179"/>
  <c r="M86" i="179"/>
  <c r="M81" i="179"/>
  <c r="M82" i="179"/>
  <c r="M83" i="179"/>
  <c r="M84" i="179"/>
  <c r="M80" i="179"/>
  <c r="M72" i="179"/>
  <c r="M73" i="179"/>
  <c r="M74" i="179"/>
  <c r="M71" i="179"/>
  <c r="M67" i="179"/>
  <c r="M68" i="179"/>
  <c r="M69" i="179"/>
  <c r="M66" i="179"/>
  <c r="M61" i="179"/>
  <c r="M62" i="179"/>
  <c r="M63" i="179"/>
  <c r="M64" i="179"/>
  <c r="M60" i="179"/>
  <c r="Q142" i="179"/>
  <c r="E51" i="121"/>
  <c r="C3" i="175"/>
  <c r="C3" i="120"/>
  <c r="E12" i="180"/>
  <c r="E13" i="180"/>
  <c r="B18" i="174" l="1"/>
  <c r="C18" i="174"/>
  <c r="D18" i="174"/>
  <c r="E18" i="174"/>
  <c r="F18" i="174"/>
  <c r="G18" i="174"/>
  <c r="H18" i="174"/>
  <c r="I18" i="174"/>
  <c r="J18" i="174"/>
  <c r="K18" i="174"/>
  <c r="B19" i="174"/>
  <c r="C19" i="174"/>
  <c r="D19" i="174"/>
  <c r="E19" i="174"/>
  <c r="F19" i="174"/>
  <c r="G19" i="174"/>
  <c r="H19" i="174"/>
  <c r="I19" i="174"/>
  <c r="J19" i="174"/>
  <c r="K19" i="174"/>
  <c r="B20" i="174"/>
  <c r="B21" i="174"/>
  <c r="B22" i="174"/>
  <c r="B23" i="174"/>
  <c r="F6" i="180"/>
  <c r="F16" i="180" s="1"/>
  <c r="C3" i="180"/>
  <c r="C2" i="180"/>
  <c r="B1" i="177"/>
  <c r="C3" i="177"/>
  <c r="K16" i="170"/>
  <c r="B50" i="177"/>
  <c r="D23" i="168"/>
  <c r="D19" i="168"/>
  <c r="D20" i="168"/>
  <c r="D21" i="168"/>
  <c r="D22" i="168"/>
  <c r="B1" i="168"/>
  <c r="B2" i="152"/>
  <c r="B2" i="179"/>
  <c r="H26" i="152"/>
  <c r="H27" i="152"/>
  <c r="H28" i="152"/>
  <c r="H29" i="152"/>
  <c r="H30" i="152"/>
  <c r="H31" i="152"/>
  <c r="H25" i="152"/>
  <c r="M20" i="152"/>
  <c r="P20" i="152" s="1"/>
  <c r="M21" i="152"/>
  <c r="P21" i="152" s="1"/>
  <c r="M22" i="152"/>
  <c r="P22" i="152" s="1"/>
  <c r="M23" i="152"/>
  <c r="P23" i="152" s="1"/>
  <c r="M24" i="152"/>
  <c r="P24" i="152" s="1"/>
  <c r="H24" i="152"/>
  <c r="H23" i="152"/>
  <c r="H22" i="152"/>
  <c r="H21" i="152"/>
  <c r="H20" i="152"/>
  <c r="H19" i="152"/>
  <c r="H18" i="152"/>
  <c r="H17" i="152"/>
  <c r="H16" i="152"/>
  <c r="H15" i="152"/>
  <c r="H14" i="152"/>
  <c r="H13" i="152"/>
  <c r="H12" i="152"/>
  <c r="E22" i="152"/>
  <c r="E21" i="177" s="1"/>
  <c r="C12" i="152"/>
  <c r="C13" i="152"/>
  <c r="C14" i="152"/>
  <c r="C15" i="152"/>
  <c r="C16" i="152"/>
  <c r="C17" i="152"/>
  <c r="C18" i="152"/>
  <c r="C19" i="152"/>
  <c r="C20" i="152"/>
  <c r="C19" i="168" s="1"/>
  <c r="C21" i="152"/>
  <c r="C20" i="168" s="1"/>
  <c r="C22" i="152"/>
  <c r="C21" i="168" s="1"/>
  <c r="C23" i="152"/>
  <c r="C22" i="177" s="1"/>
  <c r="C24" i="152"/>
  <c r="C23" i="177" s="1"/>
  <c r="B24" i="152"/>
  <c r="B23" i="177" s="1"/>
  <c r="B23" i="152"/>
  <c r="B22" i="177" s="1"/>
  <c r="B22" i="152"/>
  <c r="B21" i="168" s="1"/>
  <c r="B21" i="152"/>
  <c r="B20" i="168" s="1"/>
  <c r="B20" i="152"/>
  <c r="B19" i="168" s="1"/>
  <c r="B19" i="152"/>
  <c r="B18" i="152"/>
  <c r="B17" i="152"/>
  <c r="B16" i="152"/>
  <c r="B15" i="152"/>
  <c r="B14" i="152"/>
  <c r="B13" i="152"/>
  <c r="B12" i="152"/>
  <c r="C13" i="173"/>
  <c r="C11" i="173"/>
  <c r="P156" i="136"/>
  <c r="P157" i="136" s="1"/>
  <c r="M156" i="136"/>
  <c r="M157" i="136" s="1"/>
  <c r="J156" i="136"/>
  <c r="J157" i="136" s="1"/>
  <c r="G155" i="136"/>
  <c r="I155" i="136" s="1"/>
  <c r="G154" i="136"/>
  <c r="I154" i="136" s="1"/>
  <c r="G153" i="136"/>
  <c r="O153" i="136" s="1"/>
  <c r="G152" i="136"/>
  <c r="L152" i="136" s="1"/>
  <c r="G151" i="136"/>
  <c r="I151" i="136" s="1"/>
  <c r="G150" i="136"/>
  <c r="O150" i="136" s="1"/>
  <c r="F148" i="136"/>
  <c r="G148" i="136" s="1"/>
  <c r="G146" i="136"/>
  <c r="L146" i="136" s="1"/>
  <c r="G145" i="136"/>
  <c r="O145" i="136" s="1"/>
  <c r="G144" i="136"/>
  <c r="O144" i="136" s="1"/>
  <c r="G143" i="136"/>
  <c r="L143" i="136" s="1"/>
  <c r="G142" i="136"/>
  <c r="I142" i="136" s="1"/>
  <c r="G140" i="136"/>
  <c r="O140" i="136" s="1"/>
  <c r="G138" i="136"/>
  <c r="O138" i="136" s="1"/>
  <c r="G136" i="136"/>
  <c r="O136" i="136" s="1"/>
  <c r="G135" i="136"/>
  <c r="O135" i="136" s="1"/>
  <c r="G133" i="136"/>
  <c r="L133" i="136" s="1"/>
  <c r="G132" i="136"/>
  <c r="O132" i="136" s="1"/>
  <c r="G131" i="136"/>
  <c r="O131" i="136" s="1"/>
  <c r="G129" i="136"/>
  <c r="O129" i="136" s="1"/>
  <c r="G128" i="136"/>
  <c r="L128" i="136" s="1"/>
  <c r="G127" i="136"/>
  <c r="O127" i="136" s="1"/>
  <c r="G126" i="136"/>
  <c r="O126" i="136" s="1"/>
  <c r="G125" i="136"/>
  <c r="L125" i="136" s="1"/>
  <c r="G122" i="136"/>
  <c r="I122" i="136" s="1"/>
  <c r="G121" i="136"/>
  <c r="I121" i="136" s="1"/>
  <c r="G120" i="136"/>
  <c r="L120" i="136" s="1"/>
  <c r="G119" i="136"/>
  <c r="O119" i="136" s="1"/>
  <c r="G117" i="136"/>
  <c r="L117" i="136" s="1"/>
  <c r="G116" i="136"/>
  <c r="O116" i="136" s="1"/>
  <c r="G115" i="136"/>
  <c r="O115" i="136" s="1"/>
  <c r="G114" i="136"/>
  <c r="O114" i="136" s="1"/>
  <c r="L111" i="136"/>
  <c r="G111" i="136"/>
  <c r="I111" i="136" s="1"/>
  <c r="G109" i="136"/>
  <c r="O109" i="136" s="1"/>
  <c r="G108" i="136"/>
  <c r="L108" i="136" s="1"/>
  <c r="G107" i="136"/>
  <c r="O107" i="136" s="1"/>
  <c r="G105" i="136"/>
  <c r="O105" i="136" s="1"/>
  <c r="G104" i="136"/>
  <c r="O104" i="136" s="1"/>
  <c r="G101" i="136"/>
  <c r="O101" i="136" s="1"/>
  <c r="G100" i="136"/>
  <c r="O100" i="136" s="1"/>
  <c r="G99" i="136"/>
  <c r="L99" i="136" s="1"/>
  <c r="G98" i="136"/>
  <c r="O98" i="136" s="1"/>
  <c r="G97" i="136"/>
  <c r="O97" i="136" s="1"/>
  <c r="G95" i="136"/>
  <c r="L95" i="136" s="1"/>
  <c r="G94" i="136"/>
  <c r="O94" i="136" s="1"/>
  <c r="G93" i="136"/>
  <c r="O93" i="136" s="1"/>
  <c r="G92" i="136"/>
  <c r="L92" i="136" s="1"/>
  <c r="G89" i="136"/>
  <c r="O89" i="136" s="1"/>
  <c r="G88" i="136"/>
  <c r="O88" i="136" s="1"/>
  <c r="G87" i="136"/>
  <c r="O87" i="136" s="1"/>
  <c r="G86" i="136"/>
  <c r="I86" i="136" s="1"/>
  <c r="G84" i="136"/>
  <c r="O84" i="136" s="1"/>
  <c r="G83" i="136"/>
  <c r="L83" i="136" s="1"/>
  <c r="G82" i="136"/>
  <c r="O82" i="136" s="1"/>
  <c r="G81" i="136"/>
  <c r="O81" i="136" s="1"/>
  <c r="G80" i="136"/>
  <c r="I80" i="136" s="1"/>
  <c r="G77" i="136"/>
  <c r="O77" i="136" s="1"/>
  <c r="G76" i="136"/>
  <c r="O76" i="136" s="1"/>
  <c r="G74" i="136"/>
  <c r="L74" i="136" s="1"/>
  <c r="G73" i="136"/>
  <c r="I73" i="136" s="1"/>
  <c r="G72" i="136"/>
  <c r="O72" i="136" s="1"/>
  <c r="G71" i="136"/>
  <c r="I71" i="136" s="1"/>
  <c r="G69" i="136"/>
  <c r="O69" i="136" s="1"/>
  <c r="G68" i="136"/>
  <c r="O68" i="136" s="1"/>
  <c r="G67" i="136"/>
  <c r="L67" i="136" s="1"/>
  <c r="G66" i="136"/>
  <c r="O66" i="136" s="1"/>
  <c r="G65" i="136"/>
  <c r="G64" i="136"/>
  <c r="O64" i="136" s="1"/>
  <c r="G63" i="136"/>
  <c r="O63" i="136" s="1"/>
  <c r="G62" i="136"/>
  <c r="I62" i="136" s="1"/>
  <c r="G61" i="136"/>
  <c r="O61" i="136" s="1"/>
  <c r="G60" i="136"/>
  <c r="O60" i="136" s="1"/>
  <c r="G59" i="136"/>
  <c r="G58" i="136"/>
  <c r="G57" i="136"/>
  <c r="L57" i="136" s="1"/>
  <c r="G56" i="136"/>
  <c r="L56" i="136" s="1"/>
  <c r="G55" i="136"/>
  <c r="O55" i="136" s="1"/>
  <c r="G54" i="136"/>
  <c r="O54" i="136" s="1"/>
  <c r="G52" i="136"/>
  <c r="G51" i="136"/>
  <c r="O51" i="136" s="1"/>
  <c r="G50" i="136"/>
  <c r="G49" i="136"/>
  <c r="O49" i="136" s="1"/>
  <c r="G48" i="136"/>
  <c r="G47" i="136"/>
  <c r="I47" i="136" s="1"/>
  <c r="G46" i="136"/>
  <c r="G45" i="136"/>
  <c r="O45" i="136" s="1"/>
  <c r="G44" i="136"/>
  <c r="O44" i="136" s="1"/>
  <c r="G43" i="136"/>
  <c r="I43" i="136" s="1"/>
  <c r="G42" i="136"/>
  <c r="O42" i="136" s="1"/>
  <c r="G41" i="136"/>
  <c r="O41" i="136" s="1"/>
  <c r="G40" i="136"/>
  <c r="O40" i="136" s="1"/>
  <c r="G39" i="136"/>
  <c r="O39" i="136" s="1"/>
  <c r="G38" i="136"/>
  <c r="O38" i="136" s="1"/>
  <c r="G37" i="136"/>
  <c r="G36" i="136"/>
  <c r="O36" i="136" s="1"/>
  <c r="G35" i="136"/>
  <c r="G34" i="136"/>
  <c r="O34" i="136" s="1"/>
  <c r="G33" i="136"/>
  <c r="G32" i="136"/>
  <c r="L32" i="136" s="1"/>
  <c r="G31" i="136"/>
  <c r="O31" i="136" s="1"/>
  <c r="G30" i="136"/>
  <c r="L30" i="136" s="1"/>
  <c r="G28" i="136"/>
  <c r="G27" i="136"/>
  <c r="O27" i="136" s="1"/>
  <c r="G26" i="136"/>
  <c r="I26" i="136" s="1"/>
  <c r="G24" i="136"/>
  <c r="L24" i="136" s="1"/>
  <c r="G23" i="136"/>
  <c r="O23" i="136" s="1"/>
  <c r="G22" i="136"/>
  <c r="G21" i="136"/>
  <c r="I21" i="136" s="1"/>
  <c r="G20" i="136"/>
  <c r="O20" i="136" s="1"/>
  <c r="G19" i="136"/>
  <c r="G18" i="136"/>
  <c r="G17" i="136"/>
  <c r="L17" i="136" s="1"/>
  <c r="G16" i="136"/>
  <c r="I16" i="136" s="1"/>
  <c r="G15" i="136"/>
  <c r="I15" i="136" s="1"/>
  <c r="O111" i="136" l="1"/>
  <c r="L62" i="136"/>
  <c r="O62" i="136"/>
  <c r="L21" i="136"/>
  <c r="O21" i="136"/>
  <c r="C22" i="168"/>
  <c r="I55" i="136"/>
  <c r="O74" i="136"/>
  <c r="B22" i="168"/>
  <c r="O143" i="136"/>
  <c r="C21" i="177"/>
  <c r="B21" i="177"/>
  <c r="C20" i="177"/>
  <c r="I40" i="136"/>
  <c r="L101" i="136"/>
  <c r="I23" i="136"/>
  <c r="O117" i="136"/>
  <c r="O67" i="136"/>
  <c r="I54" i="136"/>
  <c r="O95" i="136"/>
  <c r="L54" i="136"/>
  <c r="I145" i="136"/>
  <c r="B20" i="177"/>
  <c r="L145" i="136"/>
  <c r="C19" i="177"/>
  <c r="B19" i="177"/>
  <c r="L151" i="136"/>
  <c r="I131" i="136"/>
  <c r="O151" i="136"/>
  <c r="O152" i="136"/>
  <c r="C23" i="168"/>
  <c r="B23" i="168"/>
  <c r="L55" i="136"/>
  <c r="L23" i="136"/>
  <c r="O24" i="136"/>
  <c r="I45" i="136"/>
  <c r="O108" i="136"/>
  <c r="I61" i="136"/>
  <c r="O83" i="136"/>
  <c r="O133" i="136"/>
  <c r="O99" i="136"/>
  <c r="L40" i="136"/>
  <c r="O30" i="136"/>
  <c r="I49" i="136"/>
  <c r="I138" i="136"/>
  <c r="L49" i="136"/>
  <c r="L138" i="136"/>
  <c r="L15" i="136"/>
  <c r="O15" i="136"/>
  <c r="O92" i="136"/>
  <c r="F12" i="180"/>
  <c r="F13" i="180"/>
  <c r="F7" i="180"/>
  <c r="J158" i="136"/>
  <c r="J159" i="136" s="1"/>
  <c r="P158" i="136"/>
  <c r="P159" i="136" s="1"/>
  <c r="P160" i="136" s="1"/>
  <c r="P161" i="136" s="1"/>
  <c r="M158" i="136"/>
  <c r="M159" i="136" s="1"/>
  <c r="O148" i="136"/>
  <c r="L148" i="136"/>
  <c r="I148" i="136"/>
  <c r="O50" i="136"/>
  <c r="L50" i="136"/>
  <c r="L26" i="136"/>
  <c r="O71" i="136"/>
  <c r="L153" i="136"/>
  <c r="O26" i="136"/>
  <c r="L86" i="136"/>
  <c r="I128" i="136"/>
  <c r="I72" i="136"/>
  <c r="I17" i="136"/>
  <c r="L72" i="136"/>
  <c r="I87" i="136"/>
  <c r="O17" i="136"/>
  <c r="I63" i="136"/>
  <c r="L87" i="136"/>
  <c r="I115" i="136"/>
  <c r="I129" i="136"/>
  <c r="O154" i="136"/>
  <c r="I42" i="136"/>
  <c r="L63" i="136"/>
  <c r="I101" i="136"/>
  <c r="L115" i="136"/>
  <c r="L129" i="136"/>
  <c r="O155" i="136"/>
  <c r="L155" i="136"/>
  <c r="L71" i="136"/>
  <c r="O128" i="136"/>
  <c r="I114" i="136"/>
  <c r="L131" i="136"/>
  <c r="I56" i="136"/>
  <c r="G156" i="136"/>
  <c r="J162" i="136" s="1"/>
  <c r="I156" i="136" s="1"/>
  <c r="I97" i="136"/>
  <c r="I153" i="136"/>
  <c r="I50" i="136"/>
  <c r="O16" i="136"/>
  <c r="L140" i="136"/>
  <c r="O86" i="136"/>
  <c r="L114" i="136"/>
  <c r="L41" i="136"/>
  <c r="L154" i="136"/>
  <c r="O19" i="136"/>
  <c r="I19" i="136"/>
  <c r="L19" i="136"/>
  <c r="L42" i="136"/>
  <c r="I77" i="136"/>
  <c r="O32" i="136"/>
  <c r="L77" i="136"/>
  <c r="I120" i="136"/>
  <c r="O146" i="136"/>
  <c r="O56" i="136"/>
  <c r="L80" i="136"/>
  <c r="O120" i="136"/>
  <c r="O80" i="136"/>
  <c r="L105" i="136"/>
  <c r="L47" i="136"/>
  <c r="I136" i="136"/>
  <c r="O47" i="136"/>
  <c r="I81" i="136"/>
  <c r="L121" i="136"/>
  <c r="L136" i="136"/>
  <c r="O57" i="136"/>
  <c r="I69" i="136"/>
  <c r="L81" i="136"/>
  <c r="O121" i="136"/>
  <c r="I24" i="136"/>
  <c r="I58" i="136"/>
  <c r="L58" i="136"/>
  <c r="O58" i="136"/>
  <c r="L69" i="136"/>
  <c r="I95" i="136"/>
  <c r="L122" i="136"/>
  <c r="O122" i="136"/>
  <c r="L16" i="136"/>
  <c r="L97" i="136"/>
  <c r="I140" i="136"/>
  <c r="I41" i="136"/>
  <c r="I32" i="136"/>
  <c r="I88" i="136"/>
  <c r="I64" i="136"/>
  <c r="L88" i="136"/>
  <c r="L64" i="136"/>
  <c r="I104" i="136"/>
  <c r="L104" i="136"/>
  <c r="I146" i="136"/>
  <c r="I34" i="136"/>
  <c r="L34" i="136"/>
  <c r="I105" i="136"/>
  <c r="I94" i="136"/>
  <c r="I57" i="136"/>
  <c r="L94" i="136"/>
  <c r="I36" i="136"/>
  <c r="L36" i="136"/>
  <c r="I125" i="136"/>
  <c r="L73" i="136"/>
  <c r="O125" i="136"/>
  <c r="I30" i="136"/>
  <c r="I67" i="136"/>
  <c r="I99" i="136"/>
  <c r="I126" i="136"/>
  <c r="I133" i="136"/>
  <c r="I27" i="136"/>
  <c r="L27" i="136"/>
  <c r="L43" i="136"/>
  <c r="I66" i="136"/>
  <c r="I82" i="136"/>
  <c r="I89" i="136"/>
  <c r="I98" i="136"/>
  <c r="I107" i="136"/>
  <c r="I116" i="136"/>
  <c r="I132" i="136"/>
  <c r="O43" i="136"/>
  <c r="I51" i="136"/>
  <c r="L66" i="136"/>
  <c r="L82" i="136"/>
  <c r="L89" i="136"/>
  <c r="L98" i="136"/>
  <c r="L107" i="136"/>
  <c r="L116" i="136"/>
  <c r="L132" i="136"/>
  <c r="L142" i="136"/>
  <c r="I150" i="136"/>
  <c r="I20" i="136"/>
  <c r="L51" i="136"/>
  <c r="O73" i="136"/>
  <c r="O142" i="136"/>
  <c r="L150" i="136"/>
  <c r="L20" i="136"/>
  <c r="I38" i="136"/>
  <c r="I44" i="136"/>
  <c r="I60" i="136"/>
  <c r="L38" i="136"/>
  <c r="L44" i="136"/>
  <c r="L60" i="136"/>
  <c r="I74" i="136"/>
  <c r="I83" i="136"/>
  <c r="I92" i="136"/>
  <c r="I108" i="136"/>
  <c r="I117" i="136"/>
  <c r="I143" i="136"/>
  <c r="L126" i="136"/>
  <c r="I39" i="136"/>
  <c r="I31" i="136"/>
  <c r="L39" i="136"/>
  <c r="L45" i="136"/>
  <c r="L61" i="136"/>
  <c r="I68" i="136"/>
  <c r="I76" i="136"/>
  <c r="I84" i="136"/>
  <c r="I93" i="136"/>
  <c r="I100" i="136"/>
  <c r="I109" i="136"/>
  <c r="I119" i="136"/>
  <c r="I127" i="136"/>
  <c r="I135" i="136"/>
  <c r="I144" i="136"/>
  <c r="L31" i="136"/>
  <c r="L68" i="136"/>
  <c r="L76" i="136"/>
  <c r="L84" i="136"/>
  <c r="L93" i="136"/>
  <c r="L100" i="136"/>
  <c r="L109" i="136"/>
  <c r="L119" i="136"/>
  <c r="L127" i="136"/>
  <c r="L135" i="136"/>
  <c r="L144" i="136"/>
  <c r="I152" i="136"/>
  <c r="J156" i="178"/>
  <c r="G155" i="178"/>
  <c r="I155" i="178" s="1"/>
  <c r="G154" i="178"/>
  <c r="I154" i="178" s="1"/>
  <c r="G153" i="178"/>
  <c r="I153" i="178" s="1"/>
  <c r="G152" i="178"/>
  <c r="I152" i="178" s="1"/>
  <c r="G151" i="178"/>
  <c r="I151" i="178" s="1"/>
  <c r="G150" i="178"/>
  <c r="I150" i="178" s="1"/>
  <c r="F148" i="178"/>
  <c r="G146" i="178"/>
  <c r="I146" i="178" s="1"/>
  <c r="G145" i="178"/>
  <c r="I145" i="178" s="1"/>
  <c r="G144" i="178"/>
  <c r="I144" i="178" s="1"/>
  <c r="G143" i="178"/>
  <c r="I143" i="178" s="1"/>
  <c r="G142" i="178"/>
  <c r="I142" i="178" s="1"/>
  <c r="G140" i="178"/>
  <c r="I140" i="178" s="1"/>
  <c r="G138" i="178"/>
  <c r="I138" i="178" s="1"/>
  <c r="G136" i="178"/>
  <c r="I136" i="178" s="1"/>
  <c r="G135" i="178"/>
  <c r="I135" i="178" s="1"/>
  <c r="G133" i="178"/>
  <c r="I133" i="178" s="1"/>
  <c r="G132" i="178"/>
  <c r="I132" i="178" s="1"/>
  <c r="G131" i="178"/>
  <c r="I131" i="178" s="1"/>
  <c r="G129" i="178"/>
  <c r="I129" i="178" s="1"/>
  <c r="G128" i="178"/>
  <c r="I128" i="178" s="1"/>
  <c r="G127" i="178"/>
  <c r="I127" i="178" s="1"/>
  <c r="G126" i="178"/>
  <c r="I126" i="178" s="1"/>
  <c r="G125" i="178"/>
  <c r="I125" i="178" s="1"/>
  <c r="G122" i="178"/>
  <c r="I122" i="178" s="1"/>
  <c r="G121" i="178"/>
  <c r="I121" i="178" s="1"/>
  <c r="G120" i="178"/>
  <c r="I120" i="178" s="1"/>
  <c r="G119" i="178"/>
  <c r="I119" i="178" s="1"/>
  <c r="G117" i="178"/>
  <c r="I117" i="178" s="1"/>
  <c r="G116" i="178"/>
  <c r="I116" i="178" s="1"/>
  <c r="G115" i="178"/>
  <c r="I115" i="178" s="1"/>
  <c r="G114" i="178"/>
  <c r="I114" i="178" s="1"/>
  <c r="G111" i="178"/>
  <c r="I111" i="178" s="1"/>
  <c r="G109" i="178"/>
  <c r="I109" i="178" s="1"/>
  <c r="G108" i="178"/>
  <c r="I108" i="178" s="1"/>
  <c r="G107" i="178"/>
  <c r="I107" i="178" s="1"/>
  <c r="G105" i="178"/>
  <c r="I105" i="178" s="1"/>
  <c r="G104" i="178"/>
  <c r="I104" i="178" s="1"/>
  <c r="G101" i="178"/>
  <c r="I101" i="178" s="1"/>
  <c r="G100" i="178"/>
  <c r="I100" i="178" s="1"/>
  <c r="G99" i="178"/>
  <c r="I99" i="178" s="1"/>
  <c r="G98" i="178"/>
  <c r="I98" i="178" s="1"/>
  <c r="G97" i="178"/>
  <c r="I97" i="178" s="1"/>
  <c r="G95" i="178"/>
  <c r="I95" i="178" s="1"/>
  <c r="G94" i="178"/>
  <c r="I94" i="178" s="1"/>
  <c r="G93" i="178"/>
  <c r="I93" i="178" s="1"/>
  <c r="G92" i="178"/>
  <c r="I92" i="178" s="1"/>
  <c r="G89" i="178"/>
  <c r="I89" i="178" s="1"/>
  <c r="G88" i="178"/>
  <c r="I88" i="178" s="1"/>
  <c r="G87" i="178"/>
  <c r="I87" i="178" s="1"/>
  <c r="G86" i="178"/>
  <c r="I86" i="178" s="1"/>
  <c r="G84" i="178"/>
  <c r="I84" i="178" s="1"/>
  <c r="G83" i="178"/>
  <c r="I83" i="178" s="1"/>
  <c r="G82" i="178"/>
  <c r="I82" i="178" s="1"/>
  <c r="G81" i="178"/>
  <c r="I81" i="178" s="1"/>
  <c r="G80" i="178"/>
  <c r="I80" i="178" s="1"/>
  <c r="G77" i="178"/>
  <c r="I77" i="178" s="1"/>
  <c r="G76" i="178"/>
  <c r="I76" i="178" s="1"/>
  <c r="G74" i="178"/>
  <c r="I74" i="178" s="1"/>
  <c r="G73" i="178"/>
  <c r="I73" i="178" s="1"/>
  <c r="G72" i="178"/>
  <c r="I72" i="178" s="1"/>
  <c r="G71" i="178"/>
  <c r="I71" i="178" s="1"/>
  <c r="G69" i="178"/>
  <c r="I69" i="178" s="1"/>
  <c r="G68" i="178"/>
  <c r="I68" i="178" s="1"/>
  <c r="G67" i="178"/>
  <c r="I67" i="178" s="1"/>
  <c r="G66" i="178"/>
  <c r="I66" i="178" s="1"/>
  <c r="G65" i="178"/>
  <c r="G64" i="178"/>
  <c r="I64" i="178" s="1"/>
  <c r="G63" i="178"/>
  <c r="I63" i="178" s="1"/>
  <c r="G62" i="178"/>
  <c r="I62" i="178" s="1"/>
  <c r="G61" i="178"/>
  <c r="I61" i="178" s="1"/>
  <c r="G60" i="178"/>
  <c r="I60" i="178" s="1"/>
  <c r="G59" i="178"/>
  <c r="G58" i="178"/>
  <c r="I58" i="178" s="1"/>
  <c r="G57" i="178"/>
  <c r="I57" i="178" s="1"/>
  <c r="G56" i="178"/>
  <c r="I56" i="178" s="1"/>
  <c r="G55" i="178"/>
  <c r="I55" i="178" s="1"/>
  <c r="G54" i="178"/>
  <c r="I54" i="178" s="1"/>
  <c r="G52" i="178"/>
  <c r="G51" i="178"/>
  <c r="I51" i="178" s="1"/>
  <c r="G50" i="178"/>
  <c r="I50" i="178" s="1"/>
  <c r="G49" i="178"/>
  <c r="I49" i="178" s="1"/>
  <c r="G48" i="178"/>
  <c r="G47" i="178"/>
  <c r="I47" i="178" s="1"/>
  <c r="G46" i="178"/>
  <c r="G45" i="178"/>
  <c r="I45" i="178" s="1"/>
  <c r="G44" i="178"/>
  <c r="I44" i="178" s="1"/>
  <c r="G43" i="178"/>
  <c r="I43" i="178" s="1"/>
  <c r="G42" i="178"/>
  <c r="I42" i="178" s="1"/>
  <c r="G41" i="178"/>
  <c r="I41" i="178" s="1"/>
  <c r="G40" i="178"/>
  <c r="I40" i="178" s="1"/>
  <c r="G39" i="178"/>
  <c r="I39" i="178" s="1"/>
  <c r="G38" i="178"/>
  <c r="I38" i="178" s="1"/>
  <c r="G37" i="178"/>
  <c r="G36" i="178"/>
  <c r="I36" i="178" s="1"/>
  <c r="G35" i="178"/>
  <c r="G34" i="178"/>
  <c r="I34" i="178" s="1"/>
  <c r="G33" i="178"/>
  <c r="G32" i="178"/>
  <c r="I32" i="178" s="1"/>
  <c r="G31" i="178"/>
  <c r="I31" i="178" s="1"/>
  <c r="G30" i="178"/>
  <c r="I30" i="178" s="1"/>
  <c r="G28" i="178"/>
  <c r="G27" i="178"/>
  <c r="I27" i="178" s="1"/>
  <c r="G26" i="178"/>
  <c r="I26" i="178" s="1"/>
  <c r="G24" i="178"/>
  <c r="I24" i="178" s="1"/>
  <c r="G23" i="178"/>
  <c r="I23" i="178" s="1"/>
  <c r="G22" i="178"/>
  <c r="G21" i="178"/>
  <c r="I21" i="178" s="1"/>
  <c r="G20" i="178"/>
  <c r="I20" i="178" s="1"/>
  <c r="G19" i="178"/>
  <c r="I19" i="178" s="1"/>
  <c r="G18" i="178"/>
  <c r="G17" i="178"/>
  <c r="I17" i="178" s="1"/>
  <c r="G16" i="178"/>
  <c r="I16" i="178" s="1"/>
  <c r="G15" i="178"/>
  <c r="I15" i="178" s="1"/>
  <c r="G5" i="136"/>
  <c r="G5" i="120"/>
  <c r="P156" i="120"/>
  <c r="G148" i="178" l="1"/>
  <c r="I148" i="178" s="1"/>
  <c r="M160" i="136"/>
  <c r="M161" i="136" s="1"/>
  <c r="H12" i="173" s="1"/>
  <c r="J160" i="136"/>
  <c r="J161" i="136" s="1"/>
  <c r="H11" i="173" s="1"/>
  <c r="G157" i="136"/>
  <c r="G162" i="136"/>
  <c r="G158" i="136"/>
  <c r="G159" i="136" s="1"/>
  <c r="P162" i="136"/>
  <c r="O156" i="136" s="1"/>
  <c r="M162" i="136"/>
  <c r="L156" i="136" s="1"/>
  <c r="J157" i="178"/>
  <c r="J158" i="178"/>
  <c r="J159" i="178" s="1"/>
  <c r="H14" i="173" l="1"/>
  <c r="I11" i="173"/>
  <c r="D14" i="170"/>
  <c r="D16" i="180"/>
  <c r="G16" i="180" s="1"/>
  <c r="D12" i="174"/>
  <c r="H36" i="114"/>
  <c r="H21" i="174" s="1"/>
  <c r="I12" i="173"/>
  <c r="G156" i="178"/>
  <c r="J162" i="178" s="1"/>
  <c r="G160" i="136"/>
  <c r="G161" i="136" s="1"/>
  <c r="G163" i="136"/>
  <c r="J163" i="136"/>
  <c r="M163" i="136" s="1"/>
  <c r="P163" i="136" s="1"/>
  <c r="J160" i="178"/>
  <c r="J161" i="178" s="1"/>
  <c r="G162" i="178"/>
  <c r="G158" i="178"/>
  <c r="G157" i="178"/>
  <c r="G159" i="178" s="1"/>
  <c r="G160" i="178" l="1"/>
  <c r="G161" i="178" s="1"/>
  <c r="M154" i="175" l="1"/>
  <c r="O154" i="175" s="1"/>
  <c r="M153" i="175"/>
  <c r="O153" i="175" s="1"/>
  <c r="M152" i="175"/>
  <c r="O152" i="175" s="1"/>
  <c r="M151" i="175"/>
  <c r="O151" i="175" s="1"/>
  <c r="M150" i="175"/>
  <c r="O150" i="175" s="1"/>
  <c r="M149" i="175"/>
  <c r="O149" i="175" s="1"/>
  <c r="M147" i="175"/>
  <c r="O147" i="175" s="1"/>
  <c r="M145" i="175"/>
  <c r="O145" i="175" s="1"/>
  <c r="M144" i="175"/>
  <c r="O144" i="175" s="1"/>
  <c r="M143" i="175"/>
  <c r="O143" i="175" s="1"/>
  <c r="M142" i="175"/>
  <c r="O142" i="175" s="1"/>
  <c r="M141" i="175"/>
  <c r="O141" i="175" s="1"/>
  <c r="M139" i="175"/>
  <c r="O139" i="175" s="1"/>
  <c r="M137" i="175"/>
  <c r="O137" i="175" s="1"/>
  <c r="M135" i="175"/>
  <c r="O135" i="175" s="1"/>
  <c r="M134" i="175"/>
  <c r="O134" i="175" s="1"/>
  <c r="M132" i="175"/>
  <c r="O132" i="175" s="1"/>
  <c r="M131" i="175"/>
  <c r="O131" i="175" s="1"/>
  <c r="M130" i="175"/>
  <c r="O130" i="175" s="1"/>
  <c r="M128" i="175"/>
  <c r="O128" i="175" s="1"/>
  <c r="M127" i="175"/>
  <c r="O127" i="175" s="1"/>
  <c r="M126" i="175"/>
  <c r="O126" i="175" s="1"/>
  <c r="M125" i="175"/>
  <c r="O125" i="175" s="1"/>
  <c r="M124" i="175"/>
  <c r="O124" i="175" s="1"/>
  <c r="M121" i="175"/>
  <c r="O121" i="175" s="1"/>
  <c r="M120" i="175"/>
  <c r="O120" i="175" s="1"/>
  <c r="M119" i="175"/>
  <c r="O119" i="175" s="1"/>
  <c r="M118" i="175"/>
  <c r="O118" i="175" s="1"/>
  <c r="M116" i="175"/>
  <c r="O116" i="175" s="1"/>
  <c r="M115" i="175"/>
  <c r="O115" i="175" s="1"/>
  <c r="M114" i="175"/>
  <c r="O114" i="175" s="1"/>
  <c r="M113" i="175"/>
  <c r="O113" i="175" s="1"/>
  <c r="M110" i="175"/>
  <c r="O110" i="175" s="1"/>
  <c r="M108" i="175"/>
  <c r="O108" i="175" s="1"/>
  <c r="M107" i="175"/>
  <c r="O107" i="175" s="1"/>
  <c r="M106" i="175"/>
  <c r="O106" i="175" s="1"/>
  <c r="M104" i="175"/>
  <c r="O104" i="175" s="1"/>
  <c r="M103" i="175"/>
  <c r="O103" i="175" s="1"/>
  <c r="M100" i="175"/>
  <c r="O100" i="175" s="1"/>
  <c r="M99" i="175"/>
  <c r="O99" i="175" s="1"/>
  <c r="M98" i="175"/>
  <c r="O98" i="175" s="1"/>
  <c r="M97" i="175"/>
  <c r="O97" i="175" s="1"/>
  <c r="M96" i="175"/>
  <c r="O96" i="175" s="1"/>
  <c r="M94" i="175"/>
  <c r="O94" i="175" s="1"/>
  <c r="M93" i="175"/>
  <c r="O93" i="175" s="1"/>
  <c r="M92" i="175"/>
  <c r="O92" i="175" s="1"/>
  <c r="M91" i="175"/>
  <c r="O91" i="175" s="1"/>
  <c r="M88" i="175"/>
  <c r="O88" i="175" s="1"/>
  <c r="M87" i="175"/>
  <c r="O87" i="175" s="1"/>
  <c r="M86" i="175"/>
  <c r="O86" i="175" s="1"/>
  <c r="M85" i="175"/>
  <c r="O85" i="175" s="1"/>
  <c r="M83" i="175"/>
  <c r="O83" i="175" s="1"/>
  <c r="M82" i="175"/>
  <c r="O82" i="175" s="1"/>
  <c r="M81" i="175"/>
  <c r="O81" i="175" s="1"/>
  <c r="M80" i="175"/>
  <c r="O80" i="175" s="1"/>
  <c r="M79" i="175"/>
  <c r="O79" i="175" s="1"/>
  <c r="M76" i="175"/>
  <c r="O76" i="175" s="1"/>
  <c r="M75" i="175"/>
  <c r="O75" i="175" s="1"/>
  <c r="M73" i="175"/>
  <c r="O73" i="175" s="1"/>
  <c r="M72" i="175"/>
  <c r="O72" i="175" s="1"/>
  <c r="M71" i="175"/>
  <c r="O71" i="175" s="1"/>
  <c r="M70" i="175"/>
  <c r="O70" i="175" s="1"/>
  <c r="M68" i="175"/>
  <c r="O68" i="175" s="1"/>
  <c r="M67" i="175"/>
  <c r="O67" i="175" s="1"/>
  <c r="M66" i="175"/>
  <c r="O66" i="175" s="1"/>
  <c r="M65" i="175"/>
  <c r="O65" i="175" s="1"/>
  <c r="M63" i="175"/>
  <c r="O63" i="175" s="1"/>
  <c r="M62" i="175"/>
  <c r="O62" i="175" s="1"/>
  <c r="M61" i="175"/>
  <c r="O61" i="175" s="1"/>
  <c r="M60" i="175"/>
  <c r="O60" i="175" s="1"/>
  <c r="M59" i="175"/>
  <c r="O59" i="175" s="1"/>
  <c r="M57" i="175"/>
  <c r="O57" i="175" s="1"/>
  <c r="M56" i="175"/>
  <c r="O56" i="175" s="1"/>
  <c r="M55" i="175"/>
  <c r="O55" i="175" s="1"/>
  <c r="M54" i="175"/>
  <c r="O54" i="175" s="1"/>
  <c r="M53" i="175"/>
  <c r="O53" i="175" s="1"/>
  <c r="M50" i="175"/>
  <c r="O50" i="175" s="1"/>
  <c r="M49" i="175"/>
  <c r="O49" i="175" s="1"/>
  <c r="M48" i="175"/>
  <c r="O48" i="175" s="1"/>
  <c r="M46" i="175"/>
  <c r="O46" i="175" s="1"/>
  <c r="M44" i="175"/>
  <c r="O44" i="175" s="1"/>
  <c r="M43" i="175"/>
  <c r="O43" i="175" s="1"/>
  <c r="M42" i="175"/>
  <c r="O42" i="175" s="1"/>
  <c r="M41" i="175"/>
  <c r="O41" i="175" s="1"/>
  <c r="M40" i="175"/>
  <c r="O40" i="175" s="1"/>
  <c r="M39" i="175"/>
  <c r="O39" i="175" s="1"/>
  <c r="M38" i="175"/>
  <c r="O38" i="175" s="1"/>
  <c r="M37" i="175"/>
  <c r="O37" i="175" s="1"/>
  <c r="M35" i="175"/>
  <c r="O35" i="175" s="1"/>
  <c r="M33" i="175"/>
  <c r="O33" i="175" s="1"/>
  <c r="M31" i="175"/>
  <c r="O31" i="175" s="1"/>
  <c r="M30" i="175"/>
  <c r="O30" i="175" s="1"/>
  <c r="M29" i="175"/>
  <c r="O29" i="175" s="1"/>
  <c r="M26" i="175"/>
  <c r="O26" i="175" s="1"/>
  <c r="M25" i="175"/>
  <c r="O25" i="175" s="1"/>
  <c r="M23" i="175"/>
  <c r="O23" i="175" s="1"/>
  <c r="M22" i="175"/>
  <c r="O22" i="175" s="1"/>
  <c r="M20" i="175"/>
  <c r="O20" i="175" s="1"/>
  <c r="M19" i="175"/>
  <c r="O19" i="175" s="1"/>
  <c r="M18" i="175"/>
  <c r="O18" i="175" s="1"/>
  <c r="M16" i="175"/>
  <c r="O16" i="175" s="1"/>
  <c r="M15" i="175"/>
  <c r="O15" i="175" s="1"/>
  <c r="M14" i="175"/>
  <c r="O14" i="175" s="1"/>
  <c r="C2" i="175"/>
  <c r="T115" i="120"/>
  <c r="J156" i="120"/>
  <c r="M156" i="120"/>
  <c r="G155" i="120"/>
  <c r="O155" i="120" s="1"/>
  <c r="G154" i="120"/>
  <c r="O154" i="120" s="1"/>
  <c r="G153" i="120"/>
  <c r="O153" i="120" s="1"/>
  <c r="G152" i="120"/>
  <c r="L152" i="120" s="1"/>
  <c r="G151" i="120"/>
  <c r="L151" i="120" s="1"/>
  <c r="G150" i="120"/>
  <c r="L150" i="120" s="1"/>
  <c r="F148" i="120"/>
  <c r="G148" i="120" s="1"/>
  <c r="L148" i="120" s="1"/>
  <c r="G146" i="120"/>
  <c r="L146" i="120" s="1"/>
  <c r="G145" i="120"/>
  <c r="L145" i="120" s="1"/>
  <c r="G144" i="120"/>
  <c r="L144" i="120" s="1"/>
  <c r="G143" i="120"/>
  <c r="L143" i="120" s="1"/>
  <c r="G142" i="120"/>
  <c r="I142" i="120" s="1"/>
  <c r="G140" i="120"/>
  <c r="L140" i="120" s="1"/>
  <c r="G138" i="120"/>
  <c r="L138" i="120" s="1"/>
  <c r="G136" i="120"/>
  <c r="I136" i="120" s="1"/>
  <c r="G135" i="120"/>
  <c r="O135" i="120" s="1"/>
  <c r="G133" i="120"/>
  <c r="O133" i="120" s="1"/>
  <c r="G132" i="120"/>
  <c r="I132" i="120" s="1"/>
  <c r="G131" i="120"/>
  <c r="I131" i="120" s="1"/>
  <c r="G129" i="120"/>
  <c r="I129" i="120" s="1"/>
  <c r="G128" i="120"/>
  <c r="I128" i="120" s="1"/>
  <c r="G127" i="120"/>
  <c r="O127" i="120" s="1"/>
  <c r="G126" i="120"/>
  <c r="I126" i="120" s="1"/>
  <c r="G125" i="120"/>
  <c r="I125" i="120" s="1"/>
  <c r="G122" i="120"/>
  <c r="O122" i="120" s="1"/>
  <c r="G121" i="120"/>
  <c r="O121" i="120" s="1"/>
  <c r="G120" i="120"/>
  <c r="O120" i="120" s="1"/>
  <c r="G119" i="120"/>
  <c r="L119" i="120" s="1"/>
  <c r="G117" i="120"/>
  <c r="L117" i="120" s="1"/>
  <c r="G116" i="120"/>
  <c r="L116" i="120" s="1"/>
  <c r="G115" i="120"/>
  <c r="L115" i="120" s="1"/>
  <c r="G114" i="120"/>
  <c r="L114" i="120" s="1"/>
  <c r="G111" i="120"/>
  <c r="L111" i="120" s="1"/>
  <c r="G109" i="120"/>
  <c r="L109" i="120" s="1"/>
  <c r="G108" i="120"/>
  <c r="L108" i="120" s="1"/>
  <c r="G107" i="120"/>
  <c r="L107" i="120" s="1"/>
  <c r="G105" i="120"/>
  <c r="L105" i="120" s="1"/>
  <c r="G104" i="120"/>
  <c r="L104" i="120" s="1"/>
  <c r="G101" i="120"/>
  <c r="L101" i="120" s="1"/>
  <c r="G100" i="120"/>
  <c r="L100" i="120" s="1"/>
  <c r="G99" i="120"/>
  <c r="L99" i="120" s="1"/>
  <c r="G98" i="120"/>
  <c r="I98" i="120" s="1"/>
  <c r="G97" i="120"/>
  <c r="I97" i="120" s="1"/>
  <c r="G95" i="120"/>
  <c r="I95" i="120" s="1"/>
  <c r="G94" i="120"/>
  <c r="I94" i="120" s="1"/>
  <c r="G93" i="120"/>
  <c r="O93" i="120" s="1"/>
  <c r="G92" i="120"/>
  <c r="I92" i="120" s="1"/>
  <c r="G89" i="120"/>
  <c r="I89" i="120" s="1"/>
  <c r="G88" i="120"/>
  <c r="O88" i="120" s="1"/>
  <c r="G87" i="120"/>
  <c r="O87" i="120" s="1"/>
  <c r="G86" i="120"/>
  <c r="O86" i="120" s="1"/>
  <c r="G84" i="120"/>
  <c r="L84" i="120" s="1"/>
  <c r="G83" i="120"/>
  <c r="L83" i="120" s="1"/>
  <c r="G82" i="120"/>
  <c r="L82" i="120" s="1"/>
  <c r="G81" i="120"/>
  <c r="L81" i="120" s="1"/>
  <c r="G80" i="120"/>
  <c r="L80" i="120" s="1"/>
  <c r="G77" i="120"/>
  <c r="L77" i="120" s="1"/>
  <c r="G76" i="120"/>
  <c r="L76" i="120" s="1"/>
  <c r="G74" i="120"/>
  <c r="L74" i="120" s="1"/>
  <c r="G73" i="120"/>
  <c r="L73" i="120" s="1"/>
  <c r="G72" i="120"/>
  <c r="L72" i="120" s="1"/>
  <c r="G71" i="120"/>
  <c r="I71" i="120" s="1"/>
  <c r="G69" i="120"/>
  <c r="I69" i="120" s="1"/>
  <c r="G68" i="120"/>
  <c r="I68" i="120" s="1"/>
  <c r="G67" i="120"/>
  <c r="I67" i="120" s="1"/>
  <c r="G66" i="120"/>
  <c r="I66" i="120" s="1"/>
  <c r="G65" i="120"/>
  <c r="G64" i="120"/>
  <c r="I64" i="120" s="1"/>
  <c r="G63" i="120"/>
  <c r="I63" i="120" s="1"/>
  <c r="G62" i="120"/>
  <c r="I62" i="120" s="1"/>
  <c r="G61" i="120"/>
  <c r="O61" i="120" s="1"/>
  <c r="G60" i="120"/>
  <c r="I60" i="120" s="1"/>
  <c r="G59" i="120"/>
  <c r="G58" i="120"/>
  <c r="I58" i="120" s="1"/>
  <c r="G57" i="120"/>
  <c r="O57" i="120" s="1"/>
  <c r="G56" i="120"/>
  <c r="O56" i="120" s="1"/>
  <c r="G55" i="120"/>
  <c r="O55" i="120" s="1"/>
  <c r="G54" i="120"/>
  <c r="L54" i="120" s="1"/>
  <c r="G52" i="120"/>
  <c r="G51" i="120"/>
  <c r="L51" i="120" s="1"/>
  <c r="G50" i="120"/>
  <c r="L50" i="120" s="1"/>
  <c r="G49" i="120"/>
  <c r="L49" i="120" s="1"/>
  <c r="G48" i="120"/>
  <c r="G47" i="120"/>
  <c r="L47" i="120" s="1"/>
  <c r="G46" i="120"/>
  <c r="G45" i="120"/>
  <c r="I45" i="120" s="1"/>
  <c r="G44" i="120"/>
  <c r="I44" i="120" s="1"/>
  <c r="G43" i="120"/>
  <c r="I43" i="120" s="1"/>
  <c r="G42" i="120"/>
  <c r="I42" i="120" s="1"/>
  <c r="G41" i="120"/>
  <c r="L41" i="120" s="1"/>
  <c r="G40" i="120"/>
  <c r="L40" i="120" s="1"/>
  <c r="G39" i="120"/>
  <c r="L39" i="120" s="1"/>
  <c r="G38" i="120"/>
  <c r="L38" i="120" s="1"/>
  <c r="G37" i="120"/>
  <c r="G36" i="120"/>
  <c r="L36" i="120" s="1"/>
  <c r="G35" i="120"/>
  <c r="G34" i="120"/>
  <c r="I34" i="120" s="1"/>
  <c r="G33" i="120"/>
  <c r="G32" i="120"/>
  <c r="I32" i="120" s="1"/>
  <c r="G31" i="120"/>
  <c r="I31" i="120" s="1"/>
  <c r="G30" i="120"/>
  <c r="I30" i="120" s="1"/>
  <c r="G28" i="120"/>
  <c r="G27" i="120"/>
  <c r="O27" i="120" s="1"/>
  <c r="G26" i="120"/>
  <c r="I26" i="120" s="1"/>
  <c r="G24" i="120"/>
  <c r="I24" i="120" s="1"/>
  <c r="G23" i="120"/>
  <c r="O23" i="120" s="1"/>
  <c r="G22" i="120"/>
  <c r="G21" i="120"/>
  <c r="L21" i="120" s="1"/>
  <c r="G20" i="120"/>
  <c r="I20" i="120" s="1"/>
  <c r="G19" i="120"/>
  <c r="I19" i="120" s="1"/>
  <c r="G18" i="120"/>
  <c r="G17" i="120"/>
  <c r="L17" i="120" s="1"/>
  <c r="G16" i="120"/>
  <c r="L16" i="120" s="1"/>
  <c r="G15" i="120"/>
  <c r="I15" i="120" s="1"/>
  <c r="L136" i="120" l="1"/>
  <c r="O31" i="120"/>
  <c r="O32" i="120"/>
  <c r="O34" i="120"/>
  <c r="O36" i="120"/>
  <c r="O99" i="120"/>
  <c r="O100" i="120"/>
  <c r="O104" i="120"/>
  <c r="I100" i="120"/>
  <c r="O101" i="120"/>
  <c r="I99" i="120"/>
  <c r="I101" i="120"/>
  <c r="I133" i="120"/>
  <c r="I135" i="120"/>
  <c r="L133" i="120"/>
  <c r="L135" i="120"/>
  <c r="O38" i="120"/>
  <c r="L66" i="120"/>
  <c r="L67" i="120"/>
  <c r="O40" i="120"/>
  <c r="O131" i="120"/>
  <c r="O41" i="120"/>
  <c r="O132" i="120"/>
  <c r="L69" i="120"/>
  <c r="O43" i="120"/>
  <c r="L129" i="120"/>
  <c r="O44" i="120"/>
  <c r="O136" i="120"/>
  <c r="O128" i="120"/>
  <c r="O39" i="120"/>
  <c r="O129" i="120"/>
  <c r="L68" i="120"/>
  <c r="O42" i="120"/>
  <c r="L128" i="120"/>
  <c r="L131" i="120"/>
  <c r="O45" i="120"/>
  <c r="O138" i="120"/>
  <c r="L132" i="120"/>
  <c r="O62" i="120"/>
  <c r="O63" i="120"/>
  <c r="O64" i="120"/>
  <c r="O67" i="120"/>
  <c r="O95" i="120"/>
  <c r="I16" i="120"/>
  <c r="O19" i="120"/>
  <c r="O97" i="120"/>
  <c r="O66" i="120"/>
  <c r="O68" i="120"/>
  <c r="O69" i="120"/>
  <c r="O15" i="120"/>
  <c r="O71" i="120"/>
  <c r="O16" i="120"/>
  <c r="O94" i="120"/>
  <c r="O17" i="120"/>
  <c r="I17" i="120"/>
  <c r="O30" i="120"/>
  <c r="O98" i="120"/>
  <c r="O144" i="120"/>
  <c r="O80" i="120"/>
  <c r="O50" i="120"/>
  <c r="O82" i="120"/>
  <c r="O116" i="120"/>
  <c r="O150" i="120"/>
  <c r="O140" i="120"/>
  <c r="O142" i="120"/>
  <c r="O74" i="120"/>
  <c r="O145" i="120"/>
  <c r="O47" i="120"/>
  <c r="O49" i="120"/>
  <c r="O81" i="120"/>
  <c r="O83" i="120"/>
  <c r="O54" i="120"/>
  <c r="O152" i="120"/>
  <c r="O20" i="120"/>
  <c r="L58" i="120"/>
  <c r="O24" i="120"/>
  <c r="O58" i="120"/>
  <c r="O89" i="120"/>
  <c r="O125" i="120"/>
  <c r="O105" i="120"/>
  <c r="O107" i="120"/>
  <c r="O108" i="120"/>
  <c r="O76" i="120"/>
  <c r="O77" i="120"/>
  <c r="O146" i="120"/>
  <c r="O115" i="120"/>
  <c r="O51" i="120"/>
  <c r="O151" i="120"/>
  <c r="O119" i="120"/>
  <c r="L63" i="120"/>
  <c r="O26" i="120"/>
  <c r="O60" i="120"/>
  <c r="O92" i="120"/>
  <c r="O126" i="120"/>
  <c r="P157" i="120"/>
  <c r="O72" i="120"/>
  <c r="O73" i="120"/>
  <c r="O143" i="120"/>
  <c r="O109" i="120"/>
  <c r="O111" i="120"/>
  <c r="O114" i="120"/>
  <c r="O148" i="120"/>
  <c r="O117" i="120"/>
  <c r="O84" i="120"/>
  <c r="O21" i="120"/>
  <c r="L64" i="120"/>
  <c r="P158" i="120"/>
  <c r="I104" i="120"/>
  <c r="L71" i="120"/>
  <c r="I72" i="120"/>
  <c r="I73" i="120"/>
  <c r="I138" i="120"/>
  <c r="I140" i="120"/>
  <c r="L19" i="120"/>
  <c r="L20" i="120"/>
  <c r="I21" i="120"/>
  <c r="I47" i="120"/>
  <c r="L42" i="120"/>
  <c r="G156" i="120"/>
  <c r="J162" i="120" s="1"/>
  <c r="I156" i="120" s="1"/>
  <c r="I105" i="120"/>
  <c r="I107" i="120"/>
  <c r="I115" i="120"/>
  <c r="I50" i="120"/>
  <c r="L43" i="120"/>
  <c r="L142" i="120"/>
  <c r="L44" i="120"/>
  <c r="L45" i="120"/>
  <c r="I81" i="120"/>
  <c r="I152" i="120"/>
  <c r="I80" i="120"/>
  <c r="I148" i="120"/>
  <c r="I82" i="120"/>
  <c r="I83" i="120"/>
  <c r="I84" i="120"/>
  <c r="L94" i="120"/>
  <c r="I38" i="120"/>
  <c r="L24" i="120"/>
  <c r="L95" i="120"/>
  <c r="I39" i="120"/>
  <c r="L30" i="120"/>
  <c r="L97" i="120"/>
  <c r="I40" i="120"/>
  <c r="L31" i="120"/>
  <c r="L98" i="120"/>
  <c r="I41" i="120"/>
  <c r="L32" i="120"/>
  <c r="I111" i="120"/>
  <c r="I114" i="120"/>
  <c r="I143" i="120"/>
  <c r="I74" i="120"/>
  <c r="I144" i="120"/>
  <c r="I76" i="120"/>
  <c r="I145" i="120"/>
  <c r="I77" i="120"/>
  <c r="I146" i="120"/>
  <c r="L155" i="120"/>
  <c r="I155" i="120"/>
  <c r="L61" i="120"/>
  <c r="I61" i="120"/>
  <c r="L127" i="120"/>
  <c r="I127" i="120"/>
  <c r="L126" i="120"/>
  <c r="L88" i="120"/>
  <c r="I88" i="120"/>
  <c r="I36" i="120"/>
  <c r="L125" i="120"/>
  <c r="L60" i="120"/>
  <c r="I150" i="120"/>
  <c r="L62" i="120"/>
  <c r="I151" i="120"/>
  <c r="L23" i="120"/>
  <c r="I23" i="120"/>
  <c r="I49" i="120"/>
  <c r="I108" i="120"/>
  <c r="I109" i="120"/>
  <c r="L27" i="120"/>
  <c r="I27" i="120"/>
  <c r="I51" i="120"/>
  <c r="L26" i="120"/>
  <c r="L122" i="120"/>
  <c r="I122" i="120"/>
  <c r="L93" i="120"/>
  <c r="I93" i="120"/>
  <c r="I54" i="120"/>
  <c r="L55" i="120"/>
  <c r="I55" i="120"/>
  <c r="L56" i="120"/>
  <c r="I56" i="120"/>
  <c r="I116" i="120"/>
  <c r="L89" i="120"/>
  <c r="L57" i="120"/>
  <c r="I57" i="120"/>
  <c r="L86" i="120"/>
  <c r="I86" i="120"/>
  <c r="L120" i="120"/>
  <c r="I120" i="120"/>
  <c r="L153" i="120"/>
  <c r="I153" i="120"/>
  <c r="I117" i="120"/>
  <c r="L34" i="120"/>
  <c r="L92" i="120"/>
  <c r="L87" i="120"/>
  <c r="I87" i="120"/>
  <c r="L121" i="120"/>
  <c r="I121" i="120"/>
  <c r="L154" i="120"/>
  <c r="I154" i="120"/>
  <c r="I119" i="120"/>
  <c r="L15" i="120"/>
  <c r="M157" i="120"/>
  <c r="M158" i="120"/>
  <c r="J157" i="120"/>
  <c r="J158" i="120"/>
  <c r="P162" i="120" l="1"/>
  <c r="O156" i="120" s="1"/>
  <c r="P159" i="120"/>
  <c r="P160" i="120" s="1"/>
  <c r="P161" i="120" s="1"/>
  <c r="D13" i="173" s="1"/>
  <c r="G162" i="120"/>
  <c r="M162" i="120"/>
  <c r="L156" i="120" s="1"/>
  <c r="J159" i="120"/>
  <c r="J160" i="120" s="1"/>
  <c r="J161" i="120" s="1"/>
  <c r="D11" i="173" s="1"/>
  <c r="E11" i="173" s="1"/>
  <c r="M159" i="120"/>
  <c r="M160" i="120" s="1"/>
  <c r="M161" i="120" s="1"/>
  <c r="D12" i="173" s="1"/>
  <c r="G157" i="120"/>
  <c r="G163" i="120" s="1"/>
  <c r="G158" i="120"/>
  <c r="G159" i="120" l="1"/>
  <c r="G160" i="120" s="1"/>
  <c r="G161" i="120" s="1"/>
  <c r="J163" i="120"/>
  <c r="M163" i="120" s="1"/>
  <c r="P163" i="120" s="1"/>
  <c r="G155" i="128"/>
  <c r="G154" i="128"/>
  <c r="G153" i="128"/>
  <c r="G152" i="128"/>
  <c r="G151" i="128"/>
  <c r="G150" i="128"/>
  <c r="F148" i="128"/>
  <c r="G148" i="128" s="1"/>
  <c r="G146" i="128"/>
  <c r="G145" i="128"/>
  <c r="G144" i="128"/>
  <c r="G143" i="128"/>
  <c r="G142" i="128"/>
  <c r="G140" i="128"/>
  <c r="G138" i="128"/>
  <c r="G136" i="128"/>
  <c r="G135" i="128"/>
  <c r="G133" i="128"/>
  <c r="G132" i="128"/>
  <c r="G131" i="128"/>
  <c r="G129" i="128"/>
  <c r="G128" i="128"/>
  <c r="G127" i="128"/>
  <c r="G126" i="128"/>
  <c r="G125" i="128"/>
  <c r="G122" i="128"/>
  <c r="G121" i="128"/>
  <c r="G120" i="128"/>
  <c r="G119" i="128"/>
  <c r="G117" i="128"/>
  <c r="G116" i="128"/>
  <c r="G115" i="128"/>
  <c r="G114" i="128"/>
  <c r="G111" i="128"/>
  <c r="G109" i="128"/>
  <c r="G108" i="128"/>
  <c r="G107" i="128"/>
  <c r="G105" i="128"/>
  <c r="G104" i="128"/>
  <c r="G101" i="128"/>
  <c r="G100" i="128"/>
  <c r="G99" i="128"/>
  <c r="G98" i="128"/>
  <c r="G97" i="128"/>
  <c r="G95" i="128"/>
  <c r="G94" i="128"/>
  <c r="G93" i="128"/>
  <c r="G92" i="128"/>
  <c r="G89" i="128"/>
  <c r="G88" i="128"/>
  <c r="G87" i="128"/>
  <c r="G86" i="128"/>
  <c r="G84" i="128"/>
  <c r="G83" i="128"/>
  <c r="G82" i="128"/>
  <c r="G81" i="128"/>
  <c r="G80" i="128"/>
  <c r="G77" i="128"/>
  <c r="G76" i="128"/>
  <c r="G74" i="128"/>
  <c r="G73" i="128"/>
  <c r="G72" i="128"/>
  <c r="G71" i="128"/>
  <c r="G69" i="128"/>
  <c r="G68" i="128"/>
  <c r="G67" i="128"/>
  <c r="G66" i="128"/>
  <c r="G65" i="128"/>
  <c r="G64" i="128"/>
  <c r="G63" i="128"/>
  <c r="G62" i="128"/>
  <c r="G61" i="128"/>
  <c r="G60" i="128"/>
  <c r="G59" i="128"/>
  <c r="G58" i="128"/>
  <c r="G57" i="128"/>
  <c r="G56" i="128"/>
  <c r="G55" i="128"/>
  <c r="G54" i="128"/>
  <c r="G52" i="128"/>
  <c r="G51" i="128"/>
  <c r="G50" i="128"/>
  <c r="G49" i="128"/>
  <c r="G48" i="128"/>
  <c r="G47" i="128"/>
  <c r="G46" i="128"/>
  <c r="G45" i="128"/>
  <c r="G44" i="128"/>
  <c r="G43" i="128"/>
  <c r="G42" i="128"/>
  <c r="G41" i="128"/>
  <c r="G40" i="128"/>
  <c r="G39" i="128"/>
  <c r="G38" i="128"/>
  <c r="G37" i="128"/>
  <c r="G36" i="128"/>
  <c r="G35" i="128"/>
  <c r="G34" i="128"/>
  <c r="G33" i="128"/>
  <c r="G32" i="128"/>
  <c r="G31" i="128"/>
  <c r="G30" i="128"/>
  <c r="G28" i="128"/>
  <c r="G27" i="128"/>
  <c r="G26" i="128"/>
  <c r="G24" i="128"/>
  <c r="G23" i="128"/>
  <c r="G22" i="128"/>
  <c r="G21" i="128"/>
  <c r="G20" i="128"/>
  <c r="G19" i="128"/>
  <c r="G18" i="128"/>
  <c r="G17" i="128"/>
  <c r="G16" i="128"/>
  <c r="G15" i="128"/>
  <c r="Q163" i="179"/>
  <c r="U163" i="179" s="1"/>
  <c r="Q162" i="179"/>
  <c r="U162" i="179" s="1"/>
  <c r="Q160" i="179"/>
  <c r="U160" i="179" s="1"/>
  <c r="Q159" i="179"/>
  <c r="U159" i="179" s="1"/>
  <c r="Q157" i="179"/>
  <c r="U157" i="179" s="1"/>
  <c r="Q155" i="179"/>
  <c r="U155" i="179" s="1"/>
  <c r="N155" i="179"/>
  <c r="R155" i="179" s="1"/>
  <c r="G155" i="179"/>
  <c r="G154" i="179"/>
  <c r="Q153" i="179"/>
  <c r="U153" i="179" s="1"/>
  <c r="N153" i="179"/>
  <c r="R153" i="179" s="1"/>
  <c r="G153" i="179"/>
  <c r="Q152" i="179"/>
  <c r="U152" i="179" s="1"/>
  <c r="N152" i="179"/>
  <c r="G152" i="179"/>
  <c r="N151" i="179"/>
  <c r="R151" i="179" s="1"/>
  <c r="G151" i="179"/>
  <c r="Q150" i="179"/>
  <c r="U150" i="179" s="1"/>
  <c r="G150" i="179"/>
  <c r="Q148" i="179"/>
  <c r="U148" i="179" s="1"/>
  <c r="F148" i="179"/>
  <c r="G148" i="179" s="1"/>
  <c r="E23" i="152" s="1"/>
  <c r="N146" i="179"/>
  <c r="G146" i="179"/>
  <c r="Q145" i="179"/>
  <c r="U145" i="179" s="1"/>
  <c r="N145" i="179"/>
  <c r="G145" i="179"/>
  <c r="G144" i="179"/>
  <c r="N143" i="179"/>
  <c r="R143" i="179" s="1"/>
  <c r="G143" i="179"/>
  <c r="U142" i="179"/>
  <c r="G142" i="179"/>
  <c r="Q140" i="179"/>
  <c r="U140" i="179" s="1"/>
  <c r="G140" i="179"/>
  <c r="E21" i="152" s="1"/>
  <c r="Q138" i="179"/>
  <c r="U138" i="179" s="1"/>
  <c r="N138" i="179"/>
  <c r="K20" i="152" s="1"/>
  <c r="G138" i="179"/>
  <c r="E20" i="152" s="1"/>
  <c r="Q136" i="179"/>
  <c r="U136" i="179" s="1"/>
  <c r="N136" i="179"/>
  <c r="G136" i="179"/>
  <c r="Q135" i="179"/>
  <c r="U135" i="179" s="1"/>
  <c r="N135" i="179"/>
  <c r="K19" i="152" s="1"/>
  <c r="G135" i="179"/>
  <c r="E19" i="152" s="1"/>
  <c r="Q133" i="179"/>
  <c r="U133" i="179" s="1"/>
  <c r="N133" i="179"/>
  <c r="G133" i="179"/>
  <c r="Q132" i="179"/>
  <c r="U132" i="179" s="1"/>
  <c r="N132" i="179"/>
  <c r="G132" i="179"/>
  <c r="Q131" i="179"/>
  <c r="U131" i="179" s="1"/>
  <c r="N131" i="179"/>
  <c r="G131" i="179"/>
  <c r="N129" i="179"/>
  <c r="R129" i="179" s="1"/>
  <c r="G129" i="179"/>
  <c r="Q128" i="179"/>
  <c r="U128" i="179" s="1"/>
  <c r="G128" i="179"/>
  <c r="N127" i="179"/>
  <c r="R127" i="179" s="1"/>
  <c r="G127" i="179"/>
  <c r="N126" i="179"/>
  <c r="G126" i="179"/>
  <c r="Q125" i="179"/>
  <c r="U125" i="179" s="1"/>
  <c r="G125" i="179"/>
  <c r="Q122" i="179"/>
  <c r="U122" i="179" s="1"/>
  <c r="N122" i="179"/>
  <c r="R122" i="179" s="1"/>
  <c r="G122" i="179"/>
  <c r="Q121" i="179"/>
  <c r="U121" i="179" s="1"/>
  <c r="N121" i="179"/>
  <c r="R121" i="179" s="1"/>
  <c r="G121" i="179"/>
  <c r="Q120" i="179"/>
  <c r="U120" i="179" s="1"/>
  <c r="N120" i="179"/>
  <c r="R120" i="179" s="1"/>
  <c r="G120" i="179"/>
  <c r="Q119" i="179"/>
  <c r="U119" i="179" s="1"/>
  <c r="N119" i="179"/>
  <c r="G119" i="179"/>
  <c r="Q117" i="179"/>
  <c r="U117" i="179" s="1"/>
  <c r="N117" i="179"/>
  <c r="R117" i="179" s="1"/>
  <c r="G117" i="179"/>
  <c r="Q116" i="179"/>
  <c r="U116" i="179" s="1"/>
  <c r="N116" i="179"/>
  <c r="R116" i="179" s="1"/>
  <c r="G116" i="179"/>
  <c r="Q115" i="179"/>
  <c r="U115" i="179" s="1"/>
  <c r="N115" i="179"/>
  <c r="R115" i="179" s="1"/>
  <c r="G115" i="179"/>
  <c r="Q114" i="179"/>
  <c r="U114" i="179" s="1"/>
  <c r="N114" i="179"/>
  <c r="R114" i="179" s="1"/>
  <c r="G114" i="179"/>
  <c r="Q111" i="179"/>
  <c r="U111" i="179" s="1"/>
  <c r="N111" i="179"/>
  <c r="R111" i="179" s="1"/>
  <c r="G111" i="179"/>
  <c r="Q109" i="179"/>
  <c r="U109" i="179" s="1"/>
  <c r="N109" i="179"/>
  <c r="G109" i="179"/>
  <c r="Q108" i="179"/>
  <c r="U108" i="179" s="1"/>
  <c r="N108" i="179"/>
  <c r="R108" i="179" s="1"/>
  <c r="G108" i="179"/>
  <c r="Q107" i="179"/>
  <c r="U107" i="179" s="1"/>
  <c r="N107" i="179"/>
  <c r="R107" i="179" s="1"/>
  <c r="G107" i="179"/>
  <c r="Q105" i="179"/>
  <c r="U105" i="179" s="1"/>
  <c r="N105" i="179"/>
  <c r="R105" i="179" s="1"/>
  <c r="G105" i="179"/>
  <c r="Q104" i="179"/>
  <c r="U104" i="179" s="1"/>
  <c r="N104" i="179"/>
  <c r="G104" i="179"/>
  <c r="Q101" i="179"/>
  <c r="U101" i="179" s="1"/>
  <c r="N101" i="179"/>
  <c r="R101" i="179" s="1"/>
  <c r="G101" i="179"/>
  <c r="Q100" i="179"/>
  <c r="U100" i="179" s="1"/>
  <c r="N100" i="179"/>
  <c r="R100" i="179" s="1"/>
  <c r="G100" i="179"/>
  <c r="Q99" i="179"/>
  <c r="U99" i="179" s="1"/>
  <c r="N99" i="179"/>
  <c r="G99" i="179"/>
  <c r="Q98" i="179"/>
  <c r="U98" i="179" s="1"/>
  <c r="N98" i="179"/>
  <c r="G98" i="179"/>
  <c r="Q97" i="179"/>
  <c r="U97" i="179" s="1"/>
  <c r="N97" i="179"/>
  <c r="R97" i="179" s="1"/>
  <c r="G97" i="179"/>
  <c r="Q95" i="179"/>
  <c r="U95" i="179" s="1"/>
  <c r="N95" i="179"/>
  <c r="G95" i="179"/>
  <c r="Q94" i="179"/>
  <c r="U94" i="179" s="1"/>
  <c r="N94" i="179"/>
  <c r="R94" i="179" s="1"/>
  <c r="G94" i="179"/>
  <c r="Q93" i="179"/>
  <c r="U93" i="179" s="1"/>
  <c r="N93" i="179"/>
  <c r="R93" i="179" s="1"/>
  <c r="G93" i="179"/>
  <c r="Q92" i="179"/>
  <c r="U92" i="179" s="1"/>
  <c r="N92" i="179"/>
  <c r="G92" i="179"/>
  <c r="Q89" i="179"/>
  <c r="U89" i="179" s="1"/>
  <c r="N89" i="179"/>
  <c r="R89" i="179" s="1"/>
  <c r="G89" i="179"/>
  <c r="Q88" i="179"/>
  <c r="U88" i="179" s="1"/>
  <c r="N88" i="179"/>
  <c r="R88" i="179" s="1"/>
  <c r="G88" i="179"/>
  <c r="Q87" i="179"/>
  <c r="U87" i="179" s="1"/>
  <c r="N87" i="179"/>
  <c r="R87" i="179" s="1"/>
  <c r="G87" i="179"/>
  <c r="Q86" i="179"/>
  <c r="U86" i="179" s="1"/>
  <c r="N86" i="179"/>
  <c r="R86" i="179" s="1"/>
  <c r="G86" i="179"/>
  <c r="Q84" i="179"/>
  <c r="U84" i="179" s="1"/>
  <c r="N84" i="179"/>
  <c r="R84" i="179" s="1"/>
  <c r="G84" i="179"/>
  <c r="Q83" i="179"/>
  <c r="U83" i="179" s="1"/>
  <c r="N83" i="179"/>
  <c r="R83" i="179" s="1"/>
  <c r="G83" i="179"/>
  <c r="V83" i="179" s="1"/>
  <c r="Q82" i="179"/>
  <c r="U82" i="179" s="1"/>
  <c r="N82" i="179"/>
  <c r="G82" i="179"/>
  <c r="Q81" i="179"/>
  <c r="U81" i="179" s="1"/>
  <c r="N81" i="179"/>
  <c r="R81" i="179" s="1"/>
  <c r="G81" i="179"/>
  <c r="Q80" i="179"/>
  <c r="U80" i="179" s="1"/>
  <c r="N80" i="179"/>
  <c r="G80" i="179"/>
  <c r="G77" i="179"/>
  <c r="N76" i="179"/>
  <c r="G76" i="179"/>
  <c r="Q74" i="179"/>
  <c r="U74" i="179" s="1"/>
  <c r="N74" i="179"/>
  <c r="R74" i="179" s="1"/>
  <c r="G74" i="179"/>
  <c r="Q73" i="179"/>
  <c r="U73" i="179" s="1"/>
  <c r="N73" i="179"/>
  <c r="G73" i="179"/>
  <c r="Q72" i="179"/>
  <c r="U72" i="179" s="1"/>
  <c r="N72" i="179"/>
  <c r="R72" i="179" s="1"/>
  <c r="G72" i="179"/>
  <c r="Q71" i="179"/>
  <c r="U71" i="179" s="1"/>
  <c r="N71" i="179"/>
  <c r="G71" i="179"/>
  <c r="Q69" i="179"/>
  <c r="U69" i="179" s="1"/>
  <c r="N69" i="179"/>
  <c r="G69" i="179"/>
  <c r="Q68" i="179"/>
  <c r="U68" i="179" s="1"/>
  <c r="N68" i="179"/>
  <c r="R68" i="179" s="1"/>
  <c r="G68" i="179"/>
  <c r="V68" i="179" s="1"/>
  <c r="Q67" i="179"/>
  <c r="U67" i="179" s="1"/>
  <c r="N67" i="179"/>
  <c r="R67" i="179" s="1"/>
  <c r="G67" i="179"/>
  <c r="V67" i="179" s="1"/>
  <c r="Q66" i="179"/>
  <c r="U66" i="179" s="1"/>
  <c r="N66" i="179"/>
  <c r="R66" i="179" s="1"/>
  <c r="G66" i="179"/>
  <c r="G65" i="179"/>
  <c r="Q64" i="179"/>
  <c r="U64" i="179" s="1"/>
  <c r="N64" i="179"/>
  <c r="G64" i="179"/>
  <c r="Q63" i="179"/>
  <c r="U63" i="179" s="1"/>
  <c r="N63" i="179"/>
  <c r="R63" i="179" s="1"/>
  <c r="G63" i="179"/>
  <c r="Q62" i="179"/>
  <c r="U62" i="179" s="1"/>
  <c r="N62" i="179"/>
  <c r="R62" i="179" s="1"/>
  <c r="G62" i="179"/>
  <c r="Q61" i="179"/>
  <c r="U61" i="179" s="1"/>
  <c r="N61" i="179"/>
  <c r="R61" i="179" s="1"/>
  <c r="G61" i="179"/>
  <c r="Q60" i="179"/>
  <c r="U60" i="179" s="1"/>
  <c r="N60" i="179"/>
  <c r="G60" i="179"/>
  <c r="G59" i="179"/>
  <c r="G58" i="179"/>
  <c r="Q57" i="179"/>
  <c r="U57" i="179" s="1"/>
  <c r="G57" i="179"/>
  <c r="Q56" i="179"/>
  <c r="U56" i="179" s="1"/>
  <c r="G56" i="179"/>
  <c r="N55" i="179"/>
  <c r="Q55" i="179"/>
  <c r="U55" i="179" s="1"/>
  <c r="G55" i="179"/>
  <c r="Q54" i="179"/>
  <c r="U54" i="179" s="1"/>
  <c r="G54" i="179"/>
  <c r="G52" i="179"/>
  <c r="Q51" i="179"/>
  <c r="U51" i="179" s="1"/>
  <c r="N51" i="179"/>
  <c r="R51" i="179" s="1"/>
  <c r="G51" i="179"/>
  <c r="Q50" i="179"/>
  <c r="U50" i="179" s="1"/>
  <c r="N50" i="179"/>
  <c r="G50" i="179"/>
  <c r="Q49" i="179"/>
  <c r="U49" i="179" s="1"/>
  <c r="N49" i="179"/>
  <c r="R49" i="179" s="1"/>
  <c r="G49" i="179"/>
  <c r="G48" i="179"/>
  <c r="Q47" i="179"/>
  <c r="U47" i="179" s="1"/>
  <c r="G47" i="179"/>
  <c r="G46" i="179"/>
  <c r="N45" i="179"/>
  <c r="R45" i="179" s="1"/>
  <c r="G45" i="179"/>
  <c r="N44" i="179"/>
  <c r="G44" i="179"/>
  <c r="Q43" i="179"/>
  <c r="U43" i="179" s="1"/>
  <c r="G43" i="179"/>
  <c r="Q42" i="179"/>
  <c r="U42" i="179" s="1"/>
  <c r="G42" i="179"/>
  <c r="N41" i="179"/>
  <c r="G41" i="179"/>
  <c r="Q40" i="179"/>
  <c r="U40" i="179" s="1"/>
  <c r="G40" i="179"/>
  <c r="Q39" i="179"/>
  <c r="U39" i="179" s="1"/>
  <c r="G39" i="179"/>
  <c r="Q38" i="179"/>
  <c r="U38" i="179" s="1"/>
  <c r="G38" i="179"/>
  <c r="G37" i="179"/>
  <c r="N36" i="179"/>
  <c r="G36" i="179"/>
  <c r="G35" i="179"/>
  <c r="N34" i="179"/>
  <c r="G34" i="179"/>
  <c r="G33" i="179"/>
  <c r="Q32" i="179"/>
  <c r="U32" i="179" s="1"/>
  <c r="G32" i="179"/>
  <c r="N31" i="179"/>
  <c r="G31" i="179"/>
  <c r="Q30" i="179"/>
  <c r="U30" i="179" s="1"/>
  <c r="G30" i="179"/>
  <c r="G28" i="179"/>
  <c r="N27" i="179"/>
  <c r="R27" i="179" s="1"/>
  <c r="Q27" i="179"/>
  <c r="U27" i="179" s="1"/>
  <c r="G27" i="179"/>
  <c r="N26" i="179"/>
  <c r="R26" i="179" s="1"/>
  <c r="G26" i="179"/>
  <c r="N24" i="179"/>
  <c r="G24" i="179"/>
  <c r="N23" i="179"/>
  <c r="G23" i="179"/>
  <c r="G22" i="179"/>
  <c r="G21" i="179"/>
  <c r="N20" i="179"/>
  <c r="G20" i="179"/>
  <c r="Q19" i="179"/>
  <c r="U19" i="179" s="1"/>
  <c r="G19" i="179"/>
  <c r="G18" i="179"/>
  <c r="Q17" i="179"/>
  <c r="U17" i="179" s="1"/>
  <c r="N17" i="179"/>
  <c r="G17" i="179"/>
  <c r="Q16" i="179"/>
  <c r="U16" i="179" s="1"/>
  <c r="N16" i="179"/>
  <c r="R16" i="179" s="1"/>
  <c r="G16" i="179"/>
  <c r="Q15" i="179"/>
  <c r="U15" i="179" s="1"/>
  <c r="N15" i="179"/>
  <c r="G15" i="179"/>
  <c r="G7" i="178"/>
  <c r="G6" i="178"/>
  <c r="G5" i="178"/>
  <c r="C3" i="178"/>
  <c r="C2" i="178"/>
  <c r="G44" i="177"/>
  <c r="H44" i="177" s="1"/>
  <c r="E44" i="177"/>
  <c r="G37" i="177"/>
  <c r="H37" i="177" s="1"/>
  <c r="E37" i="177"/>
  <c r="G34" i="177"/>
  <c r="H34" i="177" s="1"/>
  <c r="E34" i="177"/>
  <c r="E30" i="177"/>
  <c r="H46" i="177"/>
  <c r="I46" i="177" s="1"/>
  <c r="H45" i="177"/>
  <c r="I45" i="177" s="1"/>
  <c r="H39" i="177"/>
  <c r="I39" i="177" s="1"/>
  <c r="H38" i="177"/>
  <c r="I38" i="177" s="1"/>
  <c r="H36" i="177"/>
  <c r="I36" i="177" s="1"/>
  <c r="H35" i="177"/>
  <c r="I35" i="177" s="1"/>
  <c r="H32" i="177"/>
  <c r="I32" i="177" s="1"/>
  <c r="H31" i="177"/>
  <c r="I31" i="177" s="1"/>
  <c r="G30" i="177"/>
  <c r="H30" i="177" s="1"/>
  <c r="D26" i="177"/>
  <c r="D25" i="177"/>
  <c r="C2" i="177"/>
  <c r="C19" i="131"/>
  <c r="D19" i="131"/>
  <c r="V94" i="179" l="1"/>
  <c r="V72" i="179"/>
  <c r="V117" i="179"/>
  <c r="V51" i="179"/>
  <c r="E24" i="152"/>
  <c r="E23" i="177" s="1"/>
  <c r="V16" i="179"/>
  <c r="V129" i="179"/>
  <c r="R145" i="179"/>
  <c r="V145" i="179" s="1"/>
  <c r="O105" i="179"/>
  <c r="S105" i="179" s="1"/>
  <c r="W105" i="179" s="1"/>
  <c r="V89" i="179"/>
  <c r="G18" i="177"/>
  <c r="H18" i="177" s="1"/>
  <c r="N19" i="152"/>
  <c r="Q23" i="179"/>
  <c r="U23" i="179" s="1"/>
  <c r="E16" i="152"/>
  <c r="E15" i="177" s="1"/>
  <c r="R92" i="179"/>
  <c r="V92" i="179" s="1"/>
  <c r="K16" i="152"/>
  <c r="V101" i="179"/>
  <c r="E18" i="152"/>
  <c r="E17" i="177" s="1"/>
  <c r="N32" i="179"/>
  <c r="O32" i="179" s="1"/>
  <c r="S32" i="179" s="1"/>
  <c r="W32" i="179" s="1"/>
  <c r="E22" i="177"/>
  <c r="E17" i="152"/>
  <c r="E12" i="152"/>
  <c r="O51" i="179"/>
  <c r="S51" i="179" s="1"/>
  <c r="W51" i="179" s="1"/>
  <c r="K17" i="152"/>
  <c r="O72" i="179"/>
  <c r="S72" i="179" s="1"/>
  <c r="W72" i="179" s="1"/>
  <c r="E20" i="177"/>
  <c r="E15" i="152"/>
  <c r="E14" i="177" s="1"/>
  <c r="E13" i="152"/>
  <c r="E14" i="152"/>
  <c r="E13" i="177" s="1"/>
  <c r="V84" i="179"/>
  <c r="V27" i="179"/>
  <c r="V66" i="179"/>
  <c r="O23" i="179"/>
  <c r="S23" i="179" s="1"/>
  <c r="W23" i="179" s="1"/>
  <c r="E19" i="177"/>
  <c r="E19" i="168"/>
  <c r="G19" i="177"/>
  <c r="N20" i="152"/>
  <c r="Q20" i="152" s="1"/>
  <c r="V155" i="179"/>
  <c r="E18" i="177"/>
  <c r="Q19" i="152"/>
  <c r="I30" i="177"/>
  <c r="V105" i="179"/>
  <c r="O67" i="179"/>
  <c r="S67" i="179" s="1"/>
  <c r="W67" i="179" s="1"/>
  <c r="R80" i="179"/>
  <c r="V80" i="179" s="1"/>
  <c r="K15" i="152"/>
  <c r="N43" i="179"/>
  <c r="O43" i="179" s="1"/>
  <c r="S43" i="179" s="1"/>
  <c r="W43" i="179" s="1"/>
  <c r="V74" i="179"/>
  <c r="V107" i="179"/>
  <c r="I34" i="177"/>
  <c r="I37" i="177"/>
  <c r="I44" i="177"/>
  <c r="M156" i="178"/>
  <c r="O27" i="179"/>
  <c r="S27" i="179" s="1"/>
  <c r="W27" i="179" s="1"/>
  <c r="N142" i="179"/>
  <c r="O142" i="179" s="1"/>
  <c r="S142" i="179" s="1"/>
  <c r="W142" i="179" s="1"/>
  <c r="N38" i="179"/>
  <c r="Q45" i="179"/>
  <c r="U45" i="179" s="1"/>
  <c r="O115" i="179"/>
  <c r="S115" i="179" s="1"/>
  <c r="W115" i="179" s="1"/>
  <c r="O152" i="179"/>
  <c r="S152" i="179" s="1"/>
  <c r="W152" i="179" s="1"/>
  <c r="O99" i="179"/>
  <c r="S99" i="179" s="1"/>
  <c r="W99" i="179" s="1"/>
  <c r="O31" i="179"/>
  <c r="S31" i="179" s="1"/>
  <c r="W31" i="179" s="1"/>
  <c r="N54" i="179"/>
  <c r="O135" i="179"/>
  <c r="S135" i="179" s="1"/>
  <c r="W135" i="179" s="1"/>
  <c r="R152" i="179"/>
  <c r="V152" i="179" s="1"/>
  <c r="Q31" i="179"/>
  <c r="U31" i="179" s="1"/>
  <c r="R99" i="179"/>
  <c r="V99" i="179" s="1"/>
  <c r="R31" i="179"/>
  <c r="V31" i="179" s="1"/>
  <c r="V93" i="179"/>
  <c r="V108" i="179"/>
  <c r="V116" i="179"/>
  <c r="R135" i="179"/>
  <c r="V135" i="179" s="1"/>
  <c r="N47" i="179"/>
  <c r="O47" i="179" s="1"/>
  <c r="S47" i="179" s="1"/>
  <c r="W47" i="179" s="1"/>
  <c r="O69" i="179"/>
  <c r="S69" i="179" s="1"/>
  <c r="W69" i="179" s="1"/>
  <c r="V153" i="179"/>
  <c r="V100" i="179"/>
  <c r="V127" i="179"/>
  <c r="O153" i="179"/>
  <c r="S153" i="179" s="1"/>
  <c r="W153" i="179" s="1"/>
  <c r="V45" i="179"/>
  <c r="O73" i="179"/>
  <c r="S73" i="179" s="1"/>
  <c r="W73" i="179" s="1"/>
  <c r="V143" i="179"/>
  <c r="O143" i="179"/>
  <c r="S143" i="179" s="1"/>
  <c r="W143" i="179" s="1"/>
  <c r="Q20" i="179"/>
  <c r="U20" i="179" s="1"/>
  <c r="O68" i="179"/>
  <c r="S68" i="179" s="1"/>
  <c r="W68" i="179" s="1"/>
  <c r="Q143" i="179"/>
  <c r="U143" i="179" s="1"/>
  <c r="V86" i="179"/>
  <c r="O71" i="179"/>
  <c r="S71" i="179" s="1"/>
  <c r="W71" i="179" s="1"/>
  <c r="O117" i="179"/>
  <c r="S117" i="179" s="1"/>
  <c r="W117" i="179" s="1"/>
  <c r="V49" i="179"/>
  <c r="N56" i="179"/>
  <c r="R56" i="179" s="1"/>
  <c r="V56" i="179" s="1"/>
  <c r="V87" i="179"/>
  <c r="Q26" i="179"/>
  <c r="U26" i="179" s="1"/>
  <c r="V120" i="179"/>
  <c r="V151" i="179"/>
  <c r="V61" i="179"/>
  <c r="O83" i="179"/>
  <c r="S83" i="179" s="1"/>
  <c r="W83" i="179" s="1"/>
  <c r="Q151" i="179"/>
  <c r="U151" i="179" s="1"/>
  <c r="O133" i="179"/>
  <c r="S133" i="179" s="1"/>
  <c r="W133" i="179" s="1"/>
  <c r="O132" i="179"/>
  <c r="S132" i="179" s="1"/>
  <c r="W132" i="179" s="1"/>
  <c r="O16" i="179"/>
  <c r="S16" i="179" s="1"/>
  <c r="W16" i="179" s="1"/>
  <c r="O94" i="179"/>
  <c r="S94" i="179" s="1"/>
  <c r="W94" i="179" s="1"/>
  <c r="O146" i="179"/>
  <c r="S146" i="179" s="1"/>
  <c r="W146" i="179" s="1"/>
  <c r="R71" i="179"/>
  <c r="V71" i="179" s="1"/>
  <c r="N148" i="179"/>
  <c r="O148" i="179" s="1"/>
  <c r="S148" i="179" s="1"/>
  <c r="W148" i="179" s="1"/>
  <c r="O155" i="179"/>
  <c r="S155" i="179" s="1"/>
  <c r="W155" i="179" s="1"/>
  <c r="Q41" i="179"/>
  <c r="U41" i="179" s="1"/>
  <c r="Q36" i="179"/>
  <c r="U36" i="179" s="1"/>
  <c r="V97" i="179"/>
  <c r="O131" i="179"/>
  <c r="S131" i="179" s="1"/>
  <c r="W131" i="179" s="1"/>
  <c r="N140" i="179"/>
  <c r="N150" i="179"/>
  <c r="O150" i="179" s="1"/>
  <c r="S150" i="179" s="1"/>
  <c r="W150" i="179" s="1"/>
  <c r="N40" i="179"/>
  <c r="O86" i="179"/>
  <c r="S86" i="179" s="1"/>
  <c r="W86" i="179" s="1"/>
  <c r="O109" i="179"/>
  <c r="S109" i="179" s="1"/>
  <c r="W109" i="179" s="1"/>
  <c r="Q146" i="179"/>
  <c r="U146" i="179" s="1"/>
  <c r="O129" i="179"/>
  <c r="S129" i="179" s="1"/>
  <c r="W129" i="179" s="1"/>
  <c r="Q129" i="179"/>
  <c r="U129" i="179" s="1"/>
  <c r="V88" i="179"/>
  <c r="N19" i="179"/>
  <c r="O19" i="179" s="1"/>
  <c r="S19" i="179" s="1"/>
  <c r="W19" i="179" s="1"/>
  <c r="V26" i="179"/>
  <c r="V114" i="179"/>
  <c r="R131" i="179"/>
  <c r="V131" i="179" s="1"/>
  <c r="G156" i="128"/>
  <c r="G158" i="128" s="1"/>
  <c r="R20" i="179"/>
  <c r="V20" i="179" s="1"/>
  <c r="O20" i="179"/>
  <c r="S20" i="179" s="1"/>
  <c r="W20" i="179" s="1"/>
  <c r="O126" i="179"/>
  <c r="S126" i="179" s="1"/>
  <c r="W126" i="179" s="1"/>
  <c r="R126" i="179"/>
  <c r="V126" i="179" s="1"/>
  <c r="O34" i="179"/>
  <c r="S34" i="179" s="1"/>
  <c r="W34" i="179" s="1"/>
  <c r="R34" i="179"/>
  <c r="V34" i="179" s="1"/>
  <c r="R41" i="179"/>
  <c r="V41" i="179" s="1"/>
  <c r="O41" i="179"/>
  <c r="S41" i="179" s="1"/>
  <c r="W41" i="179" s="1"/>
  <c r="R64" i="179"/>
  <c r="V64" i="179" s="1"/>
  <c r="O64" i="179"/>
  <c r="S64" i="179" s="1"/>
  <c r="W64" i="179" s="1"/>
  <c r="Q34" i="179"/>
  <c r="U34" i="179" s="1"/>
  <c r="Q44" i="179"/>
  <c r="U44" i="179" s="1"/>
  <c r="R73" i="179"/>
  <c r="V73" i="179" s="1"/>
  <c r="Q126" i="179"/>
  <c r="U126" i="179" s="1"/>
  <c r="O92" i="179"/>
  <c r="S92" i="179" s="1"/>
  <c r="W92" i="179" s="1"/>
  <c r="N30" i="179"/>
  <c r="R40" i="179"/>
  <c r="V40" i="179" s="1"/>
  <c r="O40" i="179"/>
  <c r="S40" i="179" s="1"/>
  <c r="W40" i="179" s="1"/>
  <c r="R50" i="179"/>
  <c r="V50" i="179" s="1"/>
  <c r="O50" i="179"/>
  <c r="S50" i="179" s="1"/>
  <c r="W50" i="179" s="1"/>
  <c r="O61" i="179"/>
  <c r="S61" i="179" s="1"/>
  <c r="W61" i="179" s="1"/>
  <c r="O97" i="179"/>
  <c r="S97" i="179" s="1"/>
  <c r="W97" i="179" s="1"/>
  <c r="V121" i="179"/>
  <c r="O24" i="179"/>
  <c r="S24" i="179" s="1"/>
  <c r="W24" i="179" s="1"/>
  <c r="O66" i="179"/>
  <c r="S66" i="179" s="1"/>
  <c r="W66" i="179" s="1"/>
  <c r="O74" i="179"/>
  <c r="S74" i="179" s="1"/>
  <c r="W74" i="179" s="1"/>
  <c r="O101" i="179"/>
  <c r="S101" i="179" s="1"/>
  <c r="W101" i="179" s="1"/>
  <c r="Q24" i="179"/>
  <c r="U24" i="179" s="1"/>
  <c r="O36" i="179"/>
  <c r="S36" i="179" s="1"/>
  <c r="W36" i="179" s="1"/>
  <c r="O87" i="179"/>
  <c r="S87" i="179" s="1"/>
  <c r="W87" i="179" s="1"/>
  <c r="O121" i="179"/>
  <c r="S121" i="179" s="1"/>
  <c r="W121" i="179" s="1"/>
  <c r="R133" i="179"/>
  <c r="V133" i="179" s="1"/>
  <c r="R24" i="179"/>
  <c r="V24" i="179" s="1"/>
  <c r="R82" i="179"/>
  <c r="V82" i="179" s="1"/>
  <c r="O82" i="179"/>
  <c r="S82" i="179" s="1"/>
  <c r="W82" i="179" s="1"/>
  <c r="R36" i="179"/>
  <c r="V36" i="179" s="1"/>
  <c r="O45" i="179"/>
  <c r="S45" i="179" s="1"/>
  <c r="W45" i="179" s="1"/>
  <c r="R104" i="179"/>
  <c r="V104" i="179" s="1"/>
  <c r="O104" i="179"/>
  <c r="S104" i="179" s="1"/>
  <c r="W104" i="179" s="1"/>
  <c r="R76" i="179"/>
  <c r="V76" i="179" s="1"/>
  <c r="O76" i="179"/>
  <c r="S76" i="179" s="1"/>
  <c r="W76" i="179" s="1"/>
  <c r="R98" i="179"/>
  <c r="V98" i="179" s="1"/>
  <c r="O98" i="179"/>
  <c r="S98" i="179" s="1"/>
  <c r="W98" i="179" s="1"/>
  <c r="R109" i="179"/>
  <c r="V109" i="179" s="1"/>
  <c r="N128" i="179"/>
  <c r="R146" i="179"/>
  <c r="V146" i="179" s="1"/>
  <c r="V62" i="179"/>
  <c r="Q76" i="179"/>
  <c r="U76" i="179" s="1"/>
  <c r="O93" i="179"/>
  <c r="S93" i="179" s="1"/>
  <c r="W93" i="179" s="1"/>
  <c r="O116" i="179"/>
  <c r="S116" i="179" s="1"/>
  <c r="W116" i="179" s="1"/>
  <c r="O81" i="179"/>
  <c r="S81" i="179" s="1"/>
  <c r="W81" i="179" s="1"/>
  <c r="N57" i="179"/>
  <c r="V111" i="179"/>
  <c r="Q77" i="179"/>
  <c r="U77" i="179" s="1"/>
  <c r="N77" i="179"/>
  <c r="O88" i="179"/>
  <c r="S88" i="179" s="1"/>
  <c r="W88" i="179" s="1"/>
  <c r="O111" i="179"/>
  <c r="S111" i="179" s="1"/>
  <c r="W111" i="179" s="1"/>
  <c r="G157" i="179"/>
  <c r="O107" i="179"/>
  <c r="S107" i="179" s="1"/>
  <c r="W107" i="179" s="1"/>
  <c r="O44" i="179"/>
  <c r="S44" i="179" s="1"/>
  <c r="W44" i="179" s="1"/>
  <c r="R44" i="179"/>
  <c r="V44" i="179" s="1"/>
  <c r="R69" i="179"/>
  <c r="V69" i="179" s="1"/>
  <c r="R119" i="179"/>
  <c r="V119" i="179" s="1"/>
  <c r="O119" i="179"/>
  <c r="S119" i="179" s="1"/>
  <c r="W119" i="179" s="1"/>
  <c r="O60" i="179"/>
  <c r="S60" i="179" s="1"/>
  <c r="W60" i="179" s="1"/>
  <c r="R95" i="179"/>
  <c r="V95" i="179" s="1"/>
  <c r="O95" i="179"/>
  <c r="S95" i="179" s="1"/>
  <c r="W95" i="179" s="1"/>
  <c r="R17" i="179"/>
  <c r="V17" i="179" s="1"/>
  <c r="O17" i="179"/>
  <c r="S17" i="179" s="1"/>
  <c r="W17" i="179" s="1"/>
  <c r="R60" i="179"/>
  <c r="V60" i="179" s="1"/>
  <c r="R55" i="179"/>
  <c r="V55" i="179" s="1"/>
  <c r="O55" i="179"/>
  <c r="S55" i="179" s="1"/>
  <c r="W55" i="179" s="1"/>
  <c r="Q21" i="179"/>
  <c r="U21" i="179" s="1"/>
  <c r="N21" i="179"/>
  <c r="N42" i="179"/>
  <c r="O63" i="179"/>
  <c r="S63" i="179" s="1"/>
  <c r="W63" i="179" s="1"/>
  <c r="O49" i="179"/>
  <c r="S49" i="179" s="1"/>
  <c r="W49" i="179" s="1"/>
  <c r="R23" i="179"/>
  <c r="V23" i="179" s="1"/>
  <c r="R132" i="179"/>
  <c r="V132" i="179" s="1"/>
  <c r="Q58" i="179"/>
  <c r="U58" i="179" s="1"/>
  <c r="N58" i="179"/>
  <c r="N154" i="179"/>
  <c r="Q154" i="179"/>
  <c r="U154" i="179" s="1"/>
  <c r="O127" i="179"/>
  <c r="S127" i="179" s="1"/>
  <c r="W127" i="179" s="1"/>
  <c r="R136" i="179"/>
  <c r="V136" i="179" s="1"/>
  <c r="O136" i="179"/>
  <c r="S136" i="179" s="1"/>
  <c r="W136" i="179" s="1"/>
  <c r="O26" i="179"/>
  <c r="S26" i="179" s="1"/>
  <c r="W26" i="179" s="1"/>
  <c r="N39" i="179"/>
  <c r="V122" i="179"/>
  <c r="Q127" i="179"/>
  <c r="U127" i="179" s="1"/>
  <c r="O151" i="179"/>
  <c r="S151" i="179" s="1"/>
  <c r="W151" i="179" s="1"/>
  <c r="O122" i="179"/>
  <c r="S122" i="179" s="1"/>
  <c r="W122" i="179" s="1"/>
  <c r="V63" i="179"/>
  <c r="V81" i="179"/>
  <c r="O84" i="179"/>
  <c r="S84" i="179" s="1"/>
  <c r="W84" i="179" s="1"/>
  <c r="O108" i="179"/>
  <c r="S108" i="179" s="1"/>
  <c r="W108" i="179" s="1"/>
  <c r="V115" i="179"/>
  <c r="R138" i="179"/>
  <c r="V138" i="179" s="1"/>
  <c r="O138" i="179"/>
  <c r="S138" i="179" s="1"/>
  <c r="W138" i="179" s="1"/>
  <c r="O15" i="179"/>
  <c r="S15" i="179" s="1"/>
  <c r="W15" i="179" s="1"/>
  <c r="R15" i="179"/>
  <c r="V15" i="179" s="1"/>
  <c r="O120" i="179"/>
  <c r="S120" i="179" s="1"/>
  <c r="W120" i="179" s="1"/>
  <c r="Q144" i="179"/>
  <c r="U144" i="179" s="1"/>
  <c r="N144" i="179"/>
  <c r="O62" i="179"/>
  <c r="S62" i="179" s="1"/>
  <c r="W62" i="179" s="1"/>
  <c r="O80" i="179"/>
  <c r="S80" i="179" s="1"/>
  <c r="W80" i="179" s="1"/>
  <c r="O89" i="179"/>
  <c r="S89" i="179" s="1"/>
  <c r="W89" i="179" s="1"/>
  <c r="O100" i="179"/>
  <c r="S100" i="179" s="1"/>
  <c r="W100" i="179" s="1"/>
  <c r="O114" i="179"/>
  <c r="S114" i="179" s="1"/>
  <c r="W114" i="179" s="1"/>
  <c r="N125" i="179"/>
  <c r="S145" i="179"/>
  <c r="W145" i="179" s="1"/>
  <c r="L32" i="170"/>
  <c r="K32" i="170"/>
  <c r="M31" i="170"/>
  <c r="M30" i="170"/>
  <c r="M32" i="170" s="1"/>
  <c r="K25" i="170"/>
  <c r="K34" i="170" s="1"/>
  <c r="J25" i="170"/>
  <c r="H25" i="170"/>
  <c r="G25" i="170"/>
  <c r="E25" i="170"/>
  <c r="D25" i="170"/>
  <c r="N24" i="170"/>
  <c r="O24" i="170" s="1"/>
  <c r="F24" i="170"/>
  <c r="I24" i="170" s="1"/>
  <c r="N23" i="170"/>
  <c r="O23" i="170" s="1"/>
  <c r="F23" i="170"/>
  <c r="I23" i="170" s="1"/>
  <c r="F22" i="170"/>
  <c r="H16" i="170"/>
  <c r="G16" i="170"/>
  <c r="E16" i="170"/>
  <c r="D15" i="170"/>
  <c r="F14" i="170"/>
  <c r="I14" i="170" s="1"/>
  <c r="L14" i="170" s="1"/>
  <c r="G34" i="170" l="1"/>
  <c r="H34" i="170"/>
  <c r="R32" i="179"/>
  <c r="V32" i="179" s="1"/>
  <c r="R47" i="179"/>
  <c r="V47" i="179" s="1"/>
  <c r="K14" i="152"/>
  <c r="E16" i="177"/>
  <c r="E12" i="177"/>
  <c r="G14" i="177"/>
  <c r="H14" i="177" s="1"/>
  <c r="N15" i="152"/>
  <c r="Q15" i="152" s="1"/>
  <c r="G15" i="177"/>
  <c r="H15" i="177" s="1"/>
  <c r="N16" i="152"/>
  <c r="Q16" i="152" s="1"/>
  <c r="R43" i="179"/>
  <c r="V43" i="179" s="1"/>
  <c r="R150" i="179"/>
  <c r="V150" i="179" s="1"/>
  <c r="K24" i="152"/>
  <c r="R148" i="179"/>
  <c r="V148" i="179" s="1"/>
  <c r="K23" i="152"/>
  <c r="R142" i="179"/>
  <c r="V142" i="179" s="1"/>
  <c r="K22" i="152"/>
  <c r="G16" i="177"/>
  <c r="H16" i="177" s="1"/>
  <c r="N17" i="152"/>
  <c r="Q17" i="152" s="1"/>
  <c r="K12" i="152"/>
  <c r="R140" i="179"/>
  <c r="V140" i="179" s="1"/>
  <c r="K21" i="152"/>
  <c r="K18" i="152"/>
  <c r="K13" i="152"/>
  <c r="E11" i="177"/>
  <c r="E25" i="152"/>
  <c r="F25" i="170"/>
  <c r="M162" i="178"/>
  <c r="L156" i="178" s="1"/>
  <c r="M157" i="178"/>
  <c r="M158" i="178"/>
  <c r="R19" i="179"/>
  <c r="V19" i="179" s="1"/>
  <c r="O54" i="179"/>
  <c r="S54" i="179" s="1"/>
  <c r="W54" i="179" s="1"/>
  <c r="R54" i="179"/>
  <c r="V54" i="179" s="1"/>
  <c r="O38" i="179"/>
  <c r="S38" i="179" s="1"/>
  <c r="W38" i="179" s="1"/>
  <c r="R38" i="179"/>
  <c r="V38" i="179" s="1"/>
  <c r="O140" i="179"/>
  <c r="S140" i="179" s="1"/>
  <c r="W140" i="179" s="1"/>
  <c r="O56" i="179"/>
  <c r="S56" i="179" s="1"/>
  <c r="W56" i="179" s="1"/>
  <c r="G157" i="128"/>
  <c r="G159" i="128" s="1"/>
  <c r="G160" i="128" s="1"/>
  <c r="G161" i="128" s="1"/>
  <c r="O58" i="179"/>
  <c r="S58" i="179" s="1"/>
  <c r="W58" i="179" s="1"/>
  <c r="R58" i="179"/>
  <c r="V58" i="179" s="1"/>
  <c r="R57" i="179"/>
  <c r="V57" i="179" s="1"/>
  <c r="O57" i="179"/>
  <c r="S57" i="179" s="1"/>
  <c r="W57" i="179" s="1"/>
  <c r="O128" i="179"/>
  <c r="S128" i="179" s="1"/>
  <c r="W128" i="179" s="1"/>
  <c r="R128" i="179"/>
  <c r="V128" i="179" s="1"/>
  <c r="R21" i="179"/>
  <c r="V21" i="179" s="1"/>
  <c r="O21" i="179"/>
  <c r="S21" i="179" s="1"/>
  <c r="W21" i="179" s="1"/>
  <c r="O77" i="179"/>
  <c r="S77" i="179" s="1"/>
  <c r="W77" i="179" s="1"/>
  <c r="R77" i="179"/>
  <c r="V77" i="179" s="1"/>
  <c r="O125" i="179"/>
  <c r="S125" i="179" s="1"/>
  <c r="W125" i="179" s="1"/>
  <c r="R125" i="179"/>
  <c r="V125" i="179" s="1"/>
  <c r="R154" i="179"/>
  <c r="V154" i="179" s="1"/>
  <c r="O154" i="179"/>
  <c r="S154" i="179" s="1"/>
  <c r="W154" i="179" s="1"/>
  <c r="N157" i="179"/>
  <c r="O42" i="179"/>
  <c r="S42" i="179" s="1"/>
  <c r="W42" i="179" s="1"/>
  <c r="R42" i="179"/>
  <c r="V42" i="179" s="1"/>
  <c r="R39" i="179"/>
  <c r="V39" i="179" s="1"/>
  <c r="O39" i="179"/>
  <c r="S39" i="179" s="1"/>
  <c r="W39" i="179" s="1"/>
  <c r="O144" i="179"/>
  <c r="S144" i="179" s="1"/>
  <c r="W144" i="179" s="1"/>
  <c r="R144" i="179"/>
  <c r="V144" i="179" s="1"/>
  <c r="G159" i="179"/>
  <c r="G163" i="179"/>
  <c r="G158" i="179"/>
  <c r="R30" i="179"/>
  <c r="V30" i="179" s="1"/>
  <c r="O30" i="179"/>
  <c r="S30" i="179" s="1"/>
  <c r="W30" i="179" s="1"/>
  <c r="E34" i="170"/>
  <c r="O14" i="170"/>
  <c r="I22" i="170"/>
  <c r="N30" i="170"/>
  <c r="O30" i="170" s="1"/>
  <c r="F15" i="170"/>
  <c r="I15" i="170" s="1"/>
  <c r="L15" i="170" s="1"/>
  <c r="N31" i="170"/>
  <c r="O31" i="170" s="1"/>
  <c r="G12" i="177" l="1"/>
  <c r="N13" i="152"/>
  <c r="Q13" i="152" s="1"/>
  <c r="G11" i="177"/>
  <c r="H11" i="177" s="1"/>
  <c r="E11" i="168"/>
  <c r="N12" i="152"/>
  <c r="K25" i="152"/>
  <c r="N22" i="152"/>
  <c r="Q22" i="152" s="1"/>
  <c r="E21" i="168"/>
  <c r="G21" i="177"/>
  <c r="N23" i="152"/>
  <c r="Q23" i="152" s="1"/>
  <c r="G22" i="177"/>
  <c r="E22" i="168"/>
  <c r="N24" i="152"/>
  <c r="Q24" i="152" s="1"/>
  <c r="G23" i="177"/>
  <c r="E23" i="168"/>
  <c r="G17" i="177"/>
  <c r="H17" i="177" s="1"/>
  <c r="N18" i="152"/>
  <c r="Q18" i="152" s="1"/>
  <c r="E20" i="168"/>
  <c r="G20" i="177"/>
  <c r="N21" i="152"/>
  <c r="Q21" i="152" s="1"/>
  <c r="G13" i="177"/>
  <c r="H13" i="177" s="1"/>
  <c r="N14" i="152"/>
  <c r="Q14" i="152" s="1"/>
  <c r="E24" i="177"/>
  <c r="M159" i="178"/>
  <c r="M160" i="178" s="1"/>
  <c r="M161" i="178" s="1"/>
  <c r="N163" i="179"/>
  <c r="O157" i="179" s="1"/>
  <c r="N158" i="179"/>
  <c r="R158" i="179" s="1"/>
  <c r="V158" i="179" s="1"/>
  <c r="R157" i="179"/>
  <c r="N159" i="179"/>
  <c r="R159" i="179" s="1"/>
  <c r="V159" i="179" s="1"/>
  <c r="G160" i="179"/>
  <c r="M14" i="170"/>
  <c r="N14" i="170" s="1"/>
  <c r="O15" i="170"/>
  <c r="O32" i="170"/>
  <c r="N32" i="170"/>
  <c r="I25" i="170"/>
  <c r="M22" i="170"/>
  <c r="V157" i="179" l="1"/>
  <c r="Y157" i="179" s="1"/>
  <c r="G24" i="177"/>
  <c r="H12" i="177"/>
  <c r="N160" i="179"/>
  <c r="G161" i="179"/>
  <c r="G162" i="179" s="1"/>
  <c r="S157" i="179"/>
  <c r="W157" i="179" s="1"/>
  <c r="R163" i="179"/>
  <c r="V163" i="179" s="1"/>
  <c r="M15" i="170"/>
  <c r="N15" i="170" s="1"/>
  <c r="M25" i="170"/>
  <c r="N22" i="170"/>
  <c r="N25" i="170" s="1"/>
  <c r="H24" i="177" l="1"/>
  <c r="G25" i="177"/>
  <c r="H25" i="177" s="1"/>
  <c r="G26" i="177"/>
  <c r="H26" i="177" s="1"/>
  <c r="N161" i="179"/>
  <c r="R161" i="179" s="1"/>
  <c r="V161" i="179" s="1"/>
  <c r="R160" i="179"/>
  <c r="V160" i="179" s="1"/>
  <c r="O22" i="170"/>
  <c r="O25" i="170" s="1"/>
  <c r="G27" i="177" l="1"/>
  <c r="H27" i="177" s="1"/>
  <c r="N162" i="179"/>
  <c r="K38" i="114"/>
  <c r="K23" i="174" s="1"/>
  <c r="M12" i="175"/>
  <c r="O12" i="175" s="1"/>
  <c r="G28" i="177" l="1"/>
  <c r="H28" i="177" s="1"/>
  <c r="R162" i="179"/>
  <c r="V162" i="179" s="1"/>
  <c r="D15" i="180"/>
  <c r="B2" i="128"/>
  <c r="C5" i="128"/>
  <c r="C4" i="128"/>
  <c r="C3" i="128"/>
  <c r="B14" i="168"/>
  <c r="B15" i="168"/>
  <c r="B16" i="168"/>
  <c r="J19" i="152"/>
  <c r="D18" i="168" s="1"/>
  <c r="E16" i="168"/>
  <c r="E14" i="168"/>
  <c r="E13" i="168"/>
  <c r="E12" i="168"/>
  <c r="C11" i="177"/>
  <c r="C12" i="177"/>
  <c r="C13" i="177"/>
  <c r="C14" i="177"/>
  <c r="C15" i="177"/>
  <c r="B16" i="177"/>
  <c r="B15" i="177"/>
  <c r="B14" i="177"/>
  <c r="E15" i="180" l="1"/>
  <c r="G29" i="177"/>
  <c r="G33" i="177" s="1"/>
  <c r="D19" i="180"/>
  <c r="D20" i="180" s="1"/>
  <c r="G20" i="180" s="1"/>
  <c r="C16" i="168"/>
  <c r="C16" i="177"/>
  <c r="I11" i="177"/>
  <c r="G13" i="152"/>
  <c r="I12" i="177"/>
  <c r="G14" i="152"/>
  <c r="I13" i="177"/>
  <c r="G19" i="152"/>
  <c r="M19" i="152" s="1"/>
  <c r="P19" i="152" s="1"/>
  <c r="I18" i="177"/>
  <c r="E15" i="168"/>
  <c r="G16" i="152"/>
  <c r="I15" i="177"/>
  <c r="G17" i="152"/>
  <c r="I16" i="177"/>
  <c r="G18" i="152"/>
  <c r="I17" i="177"/>
  <c r="B17" i="168"/>
  <c r="B17" i="177"/>
  <c r="J17" i="152"/>
  <c r="D16" i="168" s="1"/>
  <c r="G15" i="152"/>
  <c r="I14" i="177"/>
  <c r="C15" i="168"/>
  <c r="C14" i="168"/>
  <c r="B12" i="168"/>
  <c r="B12" i="177"/>
  <c r="C13" i="168"/>
  <c r="B13" i="168"/>
  <c r="B13" i="177"/>
  <c r="C12" i="168"/>
  <c r="B18" i="168"/>
  <c r="B18" i="177"/>
  <c r="C18" i="168"/>
  <c r="C18" i="177"/>
  <c r="C17" i="168"/>
  <c r="C17" i="177"/>
  <c r="J16" i="152"/>
  <c r="D15" i="168" s="1"/>
  <c r="J15" i="152"/>
  <c r="D14" i="168" s="1"/>
  <c r="J13" i="152"/>
  <c r="D12" i="168" s="1"/>
  <c r="E18" i="168"/>
  <c r="E17" i="168"/>
  <c r="J14" i="152"/>
  <c r="D13" i="168" s="1"/>
  <c r="J18" i="152"/>
  <c r="D17" i="168" s="1"/>
  <c r="K27" i="152"/>
  <c r="E19" i="180" l="1"/>
  <c r="E20" i="180" s="1"/>
  <c r="F15" i="180"/>
  <c r="F19" i="180" s="1"/>
  <c r="F20" i="180" s="1"/>
  <c r="G15" i="180"/>
  <c r="G19" i="180" s="1"/>
  <c r="E24" i="168"/>
  <c r="H29" i="177"/>
  <c r="M15" i="152"/>
  <c r="P15" i="152" s="1"/>
  <c r="H33" i="177"/>
  <c r="G40" i="177"/>
  <c r="G43" i="177" s="1"/>
  <c r="H43" i="177" s="1"/>
  <c r="M16" i="152"/>
  <c r="P16" i="152" s="1"/>
  <c r="M18" i="152"/>
  <c r="P18" i="152" s="1"/>
  <c r="M17" i="152"/>
  <c r="P17" i="152" s="1"/>
  <c r="M14" i="152"/>
  <c r="P14" i="152" s="1"/>
  <c r="M13" i="152"/>
  <c r="P13" i="152" s="1"/>
  <c r="E25" i="177"/>
  <c r="I25" i="177" s="1"/>
  <c r="K26" i="152"/>
  <c r="K28" i="152" s="1"/>
  <c r="K29" i="152" s="1"/>
  <c r="K30" i="152" s="1"/>
  <c r="T12" i="173"/>
  <c r="G47" i="177" l="1"/>
  <c r="H47" i="177" s="1"/>
  <c r="H40" i="177"/>
  <c r="I24" i="177"/>
  <c r="E26" i="177"/>
  <c r="I26" i="177" s="1"/>
  <c r="D20" i="134"/>
  <c r="E7" i="131"/>
  <c r="E6" i="131"/>
  <c r="E5" i="131"/>
  <c r="D18" i="131"/>
  <c r="C12" i="131"/>
  <c r="C18" i="131" s="1"/>
  <c r="H7" i="170"/>
  <c r="H6" i="170"/>
  <c r="H5" i="170"/>
  <c r="C3" i="170"/>
  <c r="C2" i="170"/>
  <c r="B2" i="170"/>
  <c r="H6" i="174"/>
  <c r="H7" i="174" s="1"/>
  <c r="K7" i="174"/>
  <c r="H7" i="114"/>
  <c r="H6" i="114"/>
  <c r="H5" i="114"/>
  <c r="G7" i="120"/>
  <c r="G6" i="120"/>
  <c r="I7" i="173"/>
  <c r="I6" i="173"/>
  <c r="I5" i="173"/>
  <c r="G7" i="136"/>
  <c r="G6" i="136"/>
  <c r="G7" i="175"/>
  <c r="G6" i="175"/>
  <c r="G5" i="175"/>
  <c r="C2" i="131" l="1"/>
  <c r="B2" i="131" l="1"/>
  <c r="D26" i="168"/>
  <c r="D25" i="168"/>
  <c r="G25" i="152" l="1"/>
  <c r="N25" i="152"/>
  <c r="B11" i="177"/>
  <c r="C15" i="170"/>
  <c r="C24" i="170" s="1"/>
  <c r="E25" i="168" l="1"/>
  <c r="E26" i="168"/>
  <c r="D13" i="170" l="1"/>
  <c r="D36" i="114"/>
  <c r="E27" i="168"/>
  <c r="E28" i="168" s="1"/>
  <c r="E29" i="168" s="1"/>
  <c r="E26" i="121"/>
  <c r="D21" i="174" l="1"/>
  <c r="F13" i="170"/>
  <c r="D16" i="170"/>
  <c r="D34" i="170" s="1"/>
  <c r="I13" i="170" l="1"/>
  <c r="F16" i="170"/>
  <c r="F34" i="170" s="1"/>
  <c r="L13" i="170" l="1"/>
  <c r="L16" i="170" s="1"/>
  <c r="L34" i="170" s="1"/>
  <c r="I16" i="170"/>
  <c r="I34" i="170" s="1"/>
  <c r="D37" i="114"/>
  <c r="D14" i="173"/>
  <c r="B26" i="134"/>
  <c r="C26" i="134"/>
  <c r="D26" i="134"/>
  <c r="F26" i="134" s="1"/>
  <c r="D22" i="174" l="1"/>
  <c r="J12" i="173"/>
  <c r="J11" i="173"/>
  <c r="F13" i="173"/>
  <c r="F12" i="173"/>
  <c r="F11" i="173"/>
  <c r="C13" i="174"/>
  <c r="C37" i="114"/>
  <c r="C22" i="174" l="1"/>
  <c r="E12" i="174"/>
  <c r="K11" i="173"/>
  <c r="K12" i="173" s="1"/>
  <c r="E11" i="174"/>
  <c r="F14" i="173"/>
  <c r="C3" i="174"/>
  <c r="C2" i="174"/>
  <c r="C2" i="120"/>
  <c r="C3" i="136"/>
  <c r="C2" i="136"/>
  <c r="C2" i="173"/>
  <c r="N11" i="173" l="1"/>
  <c r="N12" i="173"/>
  <c r="D25" i="134"/>
  <c r="B25" i="134"/>
  <c r="B24" i="134"/>
  <c r="N14" i="173" l="1"/>
  <c r="C12" i="173"/>
  <c r="C13" i="170"/>
  <c r="C22" i="170" s="1"/>
  <c r="C3" i="173"/>
  <c r="C3" i="114"/>
  <c r="C2" i="114"/>
  <c r="C12" i="174" l="1"/>
  <c r="C14" i="170"/>
  <c r="C23" i="170" s="1"/>
  <c r="C20" i="174"/>
  <c r="C36" i="114"/>
  <c r="C11" i="174"/>
  <c r="C24" i="134"/>
  <c r="C25" i="134"/>
  <c r="C21" i="174" l="1"/>
  <c r="E12" i="173"/>
  <c r="E13" i="173" s="1"/>
  <c r="D20" i="174"/>
  <c r="D38" i="114" l="1"/>
  <c r="E44" i="168"/>
  <c r="I35" i="114" l="1"/>
  <c r="J35" i="114" s="1"/>
  <c r="E35" i="114"/>
  <c r="F35" i="114" s="1"/>
  <c r="D23" i="174"/>
  <c r="I36" i="114"/>
  <c r="E36" i="114"/>
  <c r="E37" i="114"/>
  <c r="E22" i="174" s="1"/>
  <c r="G35" i="114" l="1"/>
  <c r="E21" i="174"/>
  <c r="I21" i="174"/>
  <c r="F20" i="174"/>
  <c r="E20" i="174"/>
  <c r="E38" i="114"/>
  <c r="E23" i="174" s="1"/>
  <c r="G11" i="173"/>
  <c r="P11" i="173" s="1"/>
  <c r="F36" i="114" l="1"/>
  <c r="L11" i="173"/>
  <c r="G12" i="173"/>
  <c r="G20" i="174"/>
  <c r="F21" i="174" l="1"/>
  <c r="G36" i="114"/>
  <c r="G21" i="174" s="1"/>
  <c r="F37" i="114"/>
  <c r="L12" i="173"/>
  <c r="P12" i="173"/>
  <c r="K36" i="114" s="1"/>
  <c r="K21" i="174" s="1"/>
  <c r="M11" i="173"/>
  <c r="O11" i="173"/>
  <c r="G13" i="173"/>
  <c r="G37" i="114" l="1"/>
  <c r="G22" i="174" s="1"/>
  <c r="F22" i="174"/>
  <c r="M12" i="173"/>
  <c r="M14" i="173" s="1"/>
  <c r="L14" i="173"/>
  <c r="E58" i="121" s="1"/>
  <c r="O12" i="173"/>
  <c r="O14" i="173" s="1"/>
  <c r="N27" i="152"/>
  <c r="H20" i="174" l="1"/>
  <c r="D24" i="134"/>
  <c r="J14" i="173"/>
  <c r="D11" i="174"/>
  <c r="D14" i="174" s="1"/>
  <c r="D15" i="174" s="1"/>
  <c r="E14" i="174"/>
  <c r="E15" i="174" s="1"/>
  <c r="H38" i="114" l="1"/>
  <c r="H23" i="174" s="1"/>
  <c r="K20" i="174"/>
  <c r="I20" i="174" l="1"/>
  <c r="E59" i="121"/>
  <c r="I38" i="114"/>
  <c r="I23" i="174" s="1"/>
  <c r="D21" i="134"/>
  <c r="J20" i="174" l="1"/>
  <c r="J36" i="114"/>
  <c r="J21" i="174" s="1"/>
  <c r="E24" i="134"/>
  <c r="F24" i="134" s="1"/>
  <c r="E42" i="177"/>
  <c r="C3" i="134"/>
  <c r="C2" i="134"/>
  <c r="F28" i="134" l="1"/>
  <c r="J13" i="170"/>
  <c r="C3" i="168"/>
  <c r="C2" i="168"/>
  <c r="C4" i="152"/>
  <c r="C3" i="152"/>
  <c r="J16" i="170" l="1"/>
  <c r="J34" i="170" s="1"/>
  <c r="O13" i="170"/>
  <c r="O16" i="170"/>
  <c r="O34" i="170" s="1"/>
  <c r="E34" i="168"/>
  <c r="M13" i="170" l="1"/>
  <c r="M16" i="170" s="1"/>
  <c r="M34" i="170" s="1"/>
  <c r="N28" i="152"/>
  <c r="N13" i="170" l="1"/>
  <c r="N16" i="170" s="1"/>
  <c r="N34" i="170" s="1"/>
  <c r="N29" i="152"/>
  <c r="C11" i="168"/>
  <c r="B11" i="168"/>
  <c r="N30" i="152" l="1"/>
  <c r="N26" i="152"/>
  <c r="E37" i="168" l="1"/>
  <c r="F25" i="134" l="1"/>
  <c r="F29" i="134" s="1"/>
  <c r="E42" i="168" s="1"/>
  <c r="F33" i="134" l="1"/>
  <c r="G42" i="177" s="1"/>
  <c r="H42" i="177" l="1"/>
  <c r="I42" i="177" s="1"/>
  <c r="G41" i="177"/>
  <c r="F30" i="134"/>
  <c r="F31" i="134" s="1"/>
  <c r="G48" i="177" l="1"/>
  <c r="H48" i="177" s="1"/>
  <c r="H41" i="177"/>
  <c r="B12" i="105"/>
  <c r="B11" i="105"/>
  <c r="B10" i="105"/>
  <c r="G10" i="105"/>
  <c r="H10" i="105"/>
  <c r="B9" i="105"/>
  <c r="B8" i="105"/>
  <c r="B7" i="105"/>
  <c r="B6" i="105"/>
  <c r="B5" i="105"/>
  <c r="K22" i="105" l="1"/>
  <c r="B4" i="105" l="1"/>
  <c r="G11" i="105" l="1"/>
  <c r="G12" i="105"/>
  <c r="G9" i="105"/>
  <c r="H12" i="105"/>
  <c r="H11" i="105"/>
  <c r="H9" i="105"/>
  <c r="G5" i="105"/>
  <c r="H5" i="105" l="1"/>
  <c r="J11" i="109" l="1"/>
  <c r="D11" i="109"/>
  <c r="K10" i="109" l="1"/>
  <c r="K9" i="109"/>
  <c r="E7" i="109"/>
  <c r="K7" i="109"/>
  <c r="E8" i="109"/>
  <c r="K6" i="109"/>
  <c r="E9" i="109"/>
  <c r="E10" i="109"/>
  <c r="E5" i="109"/>
  <c r="F5" i="109" s="1"/>
  <c r="E6" i="109"/>
  <c r="K8" i="109"/>
  <c r="K5" i="109"/>
  <c r="L5" i="109" s="1"/>
  <c r="F6" i="109" l="1"/>
  <c r="F7" i="109" s="1"/>
  <c r="F8" i="109" s="1"/>
  <c r="F9" i="109" s="1"/>
  <c r="F10" i="109" s="1"/>
  <c r="L6" i="109"/>
  <c r="L7" i="109" s="1"/>
  <c r="L8" i="109" s="1"/>
  <c r="L9" i="109" s="1"/>
  <c r="L10" i="109" s="1"/>
  <c r="I5" i="105"/>
  <c r="J5" i="105"/>
  <c r="K5" i="105"/>
  <c r="B3" i="105"/>
  <c r="A3" i="105"/>
  <c r="H5" i="109" l="1"/>
  <c r="I5" i="109" s="1"/>
  <c r="G11" i="109"/>
  <c r="G3" i="105" l="1"/>
  <c r="H3" i="105"/>
  <c r="L28" i="105" l="1"/>
  <c r="L26" i="105"/>
  <c r="L24" i="105"/>
  <c r="L22" i="105"/>
  <c r="L20" i="105"/>
  <c r="L18" i="105"/>
  <c r="L16" i="105"/>
  <c r="L14" i="105"/>
  <c r="F13" i="105" l="1"/>
  <c r="D13" i="105" l="1"/>
  <c r="F15" i="105"/>
  <c r="F17" i="105"/>
  <c r="D15" i="105" l="1"/>
  <c r="D17" i="105"/>
  <c r="F19" i="105"/>
  <c r="D19" i="105" l="1"/>
  <c r="F21" i="105"/>
  <c r="D21" i="105" l="1"/>
  <c r="D23" i="105"/>
  <c r="F23" i="105"/>
  <c r="D25" i="105" l="1"/>
  <c r="F25" i="105"/>
  <c r="F27" i="105" l="1"/>
  <c r="G4" i="105" l="1"/>
  <c r="H4" i="105" l="1"/>
  <c r="B4" i="35" l="1"/>
  <c r="F11" i="35"/>
  <c r="F20" i="35"/>
  <c r="I29" i="35"/>
  <c r="C35" i="35"/>
  <c r="C51" i="35"/>
  <c r="B4" i="42"/>
  <c r="F11" i="42"/>
  <c r="F12" i="42" s="1"/>
  <c r="F20" i="42"/>
  <c r="I29" i="42"/>
  <c r="C35" i="42"/>
  <c r="C51" i="42"/>
  <c r="C56" i="42"/>
  <c r="G58" i="42"/>
  <c r="G61" i="42" s="1"/>
  <c r="G64" i="42"/>
  <c r="B7" i="42"/>
  <c r="B7" i="35"/>
  <c r="G59" i="42"/>
  <c r="G67" i="42" l="1"/>
  <c r="F13" i="42"/>
  <c r="F15" i="42" s="1"/>
  <c r="F14" i="42"/>
  <c r="F12" i="35"/>
  <c r="F16" i="42" l="1"/>
  <c r="F17" i="42"/>
  <c r="F18" i="42" s="1"/>
  <c r="F19" i="42" s="1"/>
  <c r="F22" i="42" s="1"/>
  <c r="F13" i="35"/>
  <c r="F14" i="35"/>
  <c r="F15" i="35" s="1"/>
  <c r="G11" i="35"/>
  <c r="G12" i="35" s="1"/>
  <c r="G11" i="42"/>
  <c r="G12" i="42" s="1"/>
  <c r="F16" i="35" l="1"/>
  <c r="F17" i="35" s="1"/>
  <c r="F18" i="35" s="1"/>
  <c r="F19" i="35" s="1"/>
  <c r="F22" i="35" s="1"/>
  <c r="G37" i="35"/>
  <c r="G13" i="35"/>
  <c r="G38" i="35" s="1"/>
  <c r="G14" i="35"/>
  <c r="G39" i="35" s="1"/>
  <c r="H12" i="35"/>
  <c r="H12" i="42"/>
  <c r="G14" i="42"/>
  <c r="G39" i="42" s="1"/>
  <c r="G37" i="42"/>
  <c r="G13" i="42"/>
  <c r="G38" i="42" s="1"/>
  <c r="G15" i="42" l="1"/>
  <c r="G15" i="35"/>
  <c r="G16" i="42" l="1"/>
  <c r="G41" i="42" s="1"/>
  <c r="G40" i="42"/>
  <c r="G17" i="42"/>
  <c r="G18" i="42" s="1"/>
  <c r="G23" i="42" s="1"/>
  <c r="G40" i="35"/>
  <c r="G16" i="35"/>
  <c r="G41" i="35" s="1"/>
  <c r="G17" i="35" l="1"/>
  <c r="G18" i="35" s="1"/>
  <c r="G20" i="35" s="1"/>
  <c r="G23" i="35" s="1"/>
  <c r="H23" i="42"/>
  <c r="G43" i="42"/>
  <c r="G49" i="42" s="1"/>
  <c r="H11" i="35" l="1"/>
  <c r="H23" i="35"/>
  <c r="G43" i="35"/>
  <c r="G49" i="35" s="1"/>
  <c r="H11" i="42" l="1"/>
  <c r="K13" i="105" l="1"/>
  <c r="K17" i="105" l="1"/>
  <c r="K15" i="105"/>
  <c r="I13" i="105" l="1"/>
  <c r="K19" i="105"/>
  <c r="L13" i="105" l="1"/>
  <c r="I17" i="105"/>
  <c r="L17" i="105" s="1"/>
  <c r="I15" i="105"/>
  <c r="L15" i="105" s="1"/>
  <c r="K21" i="105"/>
  <c r="I19" i="105" l="1"/>
  <c r="K23" i="105"/>
  <c r="I21" i="105" l="1"/>
  <c r="L19" i="105"/>
  <c r="K25" i="105"/>
  <c r="I23" i="105" l="1"/>
  <c r="L21" i="105"/>
  <c r="K27" i="105"/>
  <c r="I25" i="105" l="1"/>
  <c r="L23" i="105"/>
  <c r="L25" i="105" l="1"/>
  <c r="N5" i="109" l="1"/>
  <c r="O5" i="109" s="1"/>
  <c r="M11" i="109"/>
  <c r="G13" i="105" l="1"/>
  <c r="H13" i="105" l="1"/>
  <c r="L27" i="105" s="1"/>
  <c r="E33" i="168" l="1"/>
  <c r="E40" i="168" l="1"/>
  <c r="E43" i="168" s="1"/>
  <c r="E47" i="168" l="1"/>
  <c r="E41" i="168"/>
  <c r="E48" i="168" s="1"/>
  <c r="Q12" i="152" l="1"/>
  <c r="J12" i="152" l="1"/>
  <c r="D11" i="168" s="1"/>
  <c r="G12" i="152"/>
  <c r="M12" i="152" l="1"/>
  <c r="E26" i="152"/>
  <c r="K31" i="152"/>
  <c r="D29" i="177" s="1"/>
  <c r="P12" i="152"/>
  <c r="E27" i="152"/>
  <c r="Q27" i="152" s="1"/>
  <c r="Q25" i="152"/>
  <c r="E31" i="152"/>
  <c r="Q26" i="152"/>
  <c r="J25" i="152" l="1"/>
  <c r="E28" i="152"/>
  <c r="E29" i="152" s="1"/>
  <c r="Q29" i="152" s="1"/>
  <c r="D29" i="168"/>
  <c r="N31" i="152"/>
  <c r="Q28" i="152" l="1"/>
  <c r="Q31" i="152"/>
  <c r="P25" i="152" s="1"/>
  <c r="M25" i="152"/>
  <c r="E30" i="152"/>
  <c r="Q30" i="152" s="1"/>
  <c r="E27" i="177"/>
  <c r="I27" i="177" s="1"/>
  <c r="E28" i="177" l="1"/>
  <c r="I28" i="177" s="1"/>
  <c r="E29" i="177" l="1"/>
  <c r="E33" i="177" s="1"/>
  <c r="I29" i="177" l="1"/>
  <c r="E40" i="177"/>
  <c r="E43" i="177" s="1"/>
  <c r="I43" i="177" s="1"/>
  <c r="I33" i="177"/>
  <c r="E47" i="177" l="1"/>
  <c r="I47" i="177" s="1"/>
  <c r="I40" i="177"/>
  <c r="E41" i="177" l="1"/>
  <c r="I41" i="177" s="1"/>
  <c r="E48" i="177" l="1"/>
  <c r="I48" i="177"/>
</calcChain>
</file>

<file path=xl/sharedStrings.xml><?xml version="1.0" encoding="utf-8"?>
<sst xmlns="http://schemas.openxmlformats.org/spreadsheetml/2006/main" count="3229" uniqueCount="633">
  <si>
    <t>SALDO</t>
  </si>
  <si>
    <t>METRADO</t>
  </si>
  <si>
    <t>TOTAL</t>
  </si>
  <si>
    <t>%</t>
  </si>
  <si>
    <t>COSTO DIRECTO</t>
  </si>
  <si>
    <t>GLB</t>
  </si>
  <si>
    <t>01</t>
  </si>
  <si>
    <t xml:space="preserve">PROYECTO : </t>
  </si>
  <si>
    <t xml:space="preserve">FECHA : </t>
  </si>
  <si>
    <t>LUGAR :</t>
  </si>
  <si>
    <t>ITEM</t>
  </si>
  <si>
    <t>Descuentos:</t>
  </si>
  <si>
    <t>Retención por Fiel  Cumplimiento (0%)</t>
  </si>
  <si>
    <t>Total a Pagar al Contratista (CONSTRUCTORA Y SERVICIOS MULTIPLES M&amp;E AIBA-PERU):</t>
  </si>
  <si>
    <t>RESUMEN DE LA VALORIZACION N° 02</t>
  </si>
  <si>
    <t xml:space="preserve"> CODO DEL POZUZO - PUERTO INCA - HUANUCO.</t>
  </si>
  <si>
    <t>DESCRIPCION</t>
  </si>
  <si>
    <t>PRESUPUESTO BASE</t>
  </si>
  <si>
    <t>EJECUTADO</t>
  </si>
  <si>
    <t>MONTO</t>
  </si>
  <si>
    <t>COSTO DIRECTO          :</t>
  </si>
  <si>
    <t>GASTOS GENERALES (5%)   :</t>
  </si>
  <si>
    <t>UTILIDAD  (5%)                    :</t>
  </si>
  <si>
    <t>SUB TOTAL                 :</t>
  </si>
  <si>
    <t>IGV(18%)</t>
  </si>
  <si>
    <t>FACTOR DE RELACION (1.00000)</t>
  </si>
  <si>
    <t>Son:</t>
  </si>
  <si>
    <t>GASTOS GENERALES :</t>
  </si>
  <si>
    <t>UTILIDAD                      :</t>
  </si>
  <si>
    <t>VALORIZACIÓN Nº 1   :</t>
  </si>
  <si>
    <t>Retenciónes :</t>
  </si>
  <si>
    <t>Amortizaciones:</t>
  </si>
  <si>
    <t xml:space="preserve">SON: </t>
  </si>
  <si>
    <t>SUB TOTAL</t>
  </si>
  <si>
    <t>EJECUCIÓN DE LA PRIMERA ETAPA DE LA OBRA “MEJORAMIENTO DE CAMINOS VECINALES, TRAMO CODO DE POZUZO – INDEPENDENCIA - NUEVO HORIZONTE, TRAMO DESVIÓ KM 1 + 500 DEL C.V. CODO DE POZUZO – NUEVO HORIZONTE A ALTO MASHOCA, TRAMO DESVIO KM 6 + 200 DEL C.V. CODO DE POZUZO – NUEVO HORIZONTE A BAJO MASHOCA, EN EL DISTRITO DE CODO DE POZUZO, PROVINCIA DE PUERTO INCA - HUANUCO” PRIMERA ETAPA</t>
  </si>
  <si>
    <t>ELABORACION DE EXPEDIENTE TECNICO:</t>
  </si>
  <si>
    <t>MONTO VALORIZADO  :</t>
  </si>
  <si>
    <t>MONTO CONTRACTUAL:</t>
  </si>
  <si>
    <t>COSTO DE  EJECUCION PRIMERA ETAPA</t>
  </si>
  <si>
    <t>Del 01 de Setiembre   Al 30 de Setiembre del 2014</t>
  </si>
  <si>
    <t>Cuatrocientos Un Mil Tres cientos cuatro con  y 81/100 Nuevos Soles</t>
  </si>
  <si>
    <t>GASTOS GENERALES</t>
  </si>
  <si>
    <t>Total a Pagar al Contratista (CONSORCIO HORIZONTE):</t>
  </si>
  <si>
    <t>RESUMEN DE LA VALORIZACION N° 03</t>
  </si>
  <si>
    <t>Del 01 de Octubre  Al 31 de Octubre del 2014</t>
  </si>
  <si>
    <t>Setecientos Cuarenta y seis Mil dos cientos cincuenta y nueve con  y 81/100 Nuevos Soles</t>
  </si>
  <si>
    <t xml:space="preserve">10% por Fiel Cumplimiento </t>
  </si>
  <si>
    <t>Total a Pagar al Contratista (CENTRO ORIENTE):</t>
  </si>
  <si>
    <t>RESUMEN DE LA VALORIZACION N° 01 super</t>
  </si>
  <si>
    <t>Treinta y Nueve Mil Quinientos Veinte y Nueve con 90/100 Nuevos Soles</t>
  </si>
  <si>
    <t>UND</t>
  </si>
  <si>
    <t>GASTOS GENERALES (7.5%)   :</t>
  </si>
  <si>
    <t>I.G.V.</t>
  </si>
  <si>
    <t>ANTERIOR</t>
  </si>
  <si>
    <t>UTILIDADES</t>
  </si>
  <si>
    <t>P.UND</t>
  </si>
  <si>
    <t>PORCENTAJE</t>
  </si>
  <si>
    <t>DESCRIPCIÓN</t>
  </si>
  <si>
    <t>MES</t>
  </si>
  <si>
    <t>Val. N°01 - Cont. Princ.</t>
  </si>
  <si>
    <t>Val. N°02 - Cont. Princ.</t>
  </si>
  <si>
    <t>Val. N°04 - Cont. Princ.</t>
  </si>
  <si>
    <t>Val. N°05 - Cont. Princ.</t>
  </si>
  <si>
    <t>Val. N°03 - Cont. Princ.</t>
  </si>
  <si>
    <t>FACTOR DE RELACIÓN</t>
  </si>
  <si>
    <t>VALORIZACION  DE OBRA</t>
  </si>
  <si>
    <t>ACTUAL %</t>
  </si>
  <si>
    <t>ACUMULADO %</t>
  </si>
  <si>
    <t>Val. N°06 - Cont. Princ.</t>
  </si>
  <si>
    <t>CUADRO DE CONTROL DE AVANCE DE METAS</t>
  </si>
  <si>
    <t>Mes/Año</t>
  </si>
  <si>
    <t>Avance Físico  %</t>
  </si>
  <si>
    <t>Avance  Financiero  %</t>
  </si>
  <si>
    <t>Programado</t>
  </si>
  <si>
    <t>Ejecutado</t>
  </si>
  <si>
    <t>Soles</t>
  </si>
  <si>
    <t>Unitario</t>
  </si>
  <si>
    <t>Acum.</t>
  </si>
  <si>
    <t>JULIO</t>
  </si>
  <si>
    <t>AGOSTO</t>
  </si>
  <si>
    <t>SETIEMBRE</t>
  </si>
  <si>
    <t>OCTUBRE</t>
  </si>
  <si>
    <t>Cronogramas</t>
  </si>
  <si>
    <t>AVANCE DE OBRA PROGRAMADO VS EJECUTADO - FISICO Y FINANCIERO</t>
  </si>
  <si>
    <t>03</t>
  </si>
  <si>
    <t>04</t>
  </si>
  <si>
    <t>06</t>
  </si>
  <si>
    <t>05</t>
  </si>
  <si>
    <t>02</t>
  </si>
  <si>
    <t>MAYO</t>
  </si>
  <si>
    <t>JUNIO</t>
  </si>
  <si>
    <t>07</t>
  </si>
  <si>
    <t>08</t>
  </si>
  <si>
    <t>09</t>
  </si>
  <si>
    <t>10</t>
  </si>
  <si>
    <t>IGV (18%)</t>
  </si>
  <si>
    <t xml:space="preserve">PROGRAMADO </t>
  </si>
  <si>
    <t>CURVA DEL 80%</t>
  </si>
  <si>
    <t xml:space="preserve">GASTOS GENERALES </t>
  </si>
  <si>
    <t>UTILIDAD</t>
  </si>
  <si>
    <t>COSTO (S/)</t>
  </si>
  <si>
    <t>m2</t>
  </si>
  <si>
    <t>kg</t>
  </si>
  <si>
    <t>ACUMULADO</t>
  </si>
  <si>
    <t>% DE AVANCE</t>
  </si>
  <si>
    <t>(-)</t>
  </si>
  <si>
    <t>PENALIDADES</t>
  </si>
  <si>
    <t>MUNICIPALIDAD DISTRITAL DE PILLCO MARCA</t>
  </si>
  <si>
    <t>-</t>
  </si>
  <si>
    <t>OTROS</t>
  </si>
  <si>
    <t>ADMINISTRACIÓN INDIRECTA - CONTRATA</t>
  </si>
  <si>
    <t>MENSUAL</t>
  </si>
  <si>
    <t>PROVINCIA: HUÁNUCO</t>
  </si>
  <si>
    <t>DEPARTAMENTO: HUÁNUCO</t>
  </si>
  <si>
    <t>A. DATOS GENERALES</t>
  </si>
  <si>
    <t>C. DE LA SUPERVISIÓN</t>
  </si>
  <si>
    <t>D. DE LOS PLAZOS DE EJECUCIÓN</t>
  </si>
  <si>
    <t>ÍTEM</t>
  </si>
  <si>
    <t>CANTIDAD</t>
  </si>
  <si>
    <t>PERSONAL CLAVE</t>
  </si>
  <si>
    <t>CARGO</t>
  </si>
  <si>
    <t>DNI</t>
  </si>
  <si>
    <t>CIP</t>
  </si>
  <si>
    <t>N°</t>
  </si>
  <si>
    <t>J</t>
  </si>
  <si>
    <t>D</t>
  </si>
  <si>
    <t>RETENCIÓN EFECTIVA</t>
  </si>
  <si>
    <t>VALORIZACIÓN</t>
  </si>
  <si>
    <t>SALDO POR RETENER</t>
  </si>
  <si>
    <t>AMORTIZACIONES</t>
  </si>
  <si>
    <t>VALORIZACIÓN BRUTA</t>
  </si>
  <si>
    <t>% ACUMULADO</t>
  </si>
  <si>
    <t>Nº</t>
  </si>
  <si>
    <t>K</t>
  </si>
  <si>
    <t>F</t>
  </si>
  <si>
    <t>FICHA TÉCNICA DEL PROYECTO</t>
  </si>
  <si>
    <t>RETENCIONES</t>
  </si>
  <si>
    <t>A</t>
  </si>
  <si>
    <t>POR ADELANTO DIRECTO</t>
  </si>
  <si>
    <t>POR ADELANTO DE MATERIALES</t>
  </si>
  <si>
    <t>POR GARANTÍA DE FIEL CUMPLIMIENTO</t>
  </si>
  <si>
    <t>POR ATRASO DE OBRA</t>
  </si>
  <si>
    <t>IGV</t>
  </si>
  <si>
    <t>DEDUCCIÓN DEL REAJUSTE QUE NO CORRESPONDE</t>
  </si>
  <si>
    <t>AMORTIZACIÓN POR ADELANTOS</t>
  </si>
  <si>
    <t>m</t>
  </si>
  <si>
    <t>B</t>
  </si>
  <si>
    <t>C</t>
  </si>
  <si>
    <t>E</t>
  </si>
  <si>
    <t>G</t>
  </si>
  <si>
    <t>H</t>
  </si>
  <si>
    <t>% DE SALDO</t>
  </si>
  <si>
    <t>MONTO TOTAL VALORIZADO</t>
  </si>
  <si>
    <t>PORCENTAJE DE AVANCE</t>
  </si>
  <si>
    <t>REAJUSTE DEL MES</t>
  </si>
  <si>
    <t>REINTEGRO DEL MES ANTERIOR</t>
  </si>
  <si>
    <t>MONTO A FACTURAR POR EL CONTRATISTA</t>
  </si>
  <si>
    <t>MONTO LÍQUIDO A PAGAR AL CONTRATISTA</t>
  </si>
  <si>
    <t>ESTADO DE LA OBRA</t>
  </si>
  <si>
    <t>DISTRITO: PILLCO MARCA</t>
  </si>
  <si>
    <t>ACUMULADO ANTERIOR</t>
  </si>
  <si>
    <t>ACUMULADO ACTUAL</t>
  </si>
  <si>
    <t>REAJUSTE DE LA VALORIZACIÓN</t>
  </si>
  <si>
    <t>ACTUAL</t>
  </si>
  <si>
    <t>TOTAL DE RETENCIÓN (10.00%):</t>
  </si>
  <si>
    <t>RETENCIÓN ACTUAL</t>
  </si>
  <si>
    <t>RETENCIÓN ANTERIOR ACUMULADA</t>
  </si>
  <si>
    <t>RETENCIÓN ACTUAL ACUMULADA</t>
  </si>
  <si>
    <t>PORCEN. (%)</t>
  </si>
  <si>
    <t>CALENDARIO DE AVANCE DE OBRA VALORIZADO EJECUTADO</t>
  </si>
  <si>
    <t>RETENCIÓN MENSUAL PROGRAMADA</t>
  </si>
  <si>
    <t>01.01</t>
  </si>
  <si>
    <t>CURVA S</t>
  </si>
  <si>
    <t>PROGRAMADO</t>
  </si>
  <si>
    <t>% MENSUAL</t>
  </si>
  <si>
    <t>%ACUMULADO</t>
  </si>
  <si>
    <t>CONTROL GENERAL DE AVANCE DE OBRA</t>
  </si>
  <si>
    <t>EVALUACIÓN DEL ATRASO
(80% DEL PROGRAMADO ACUMULADO)</t>
  </si>
  <si>
    <t>SITUACIÓN DE LA OBRA</t>
  </si>
  <si>
    <t>%
MENSUAL</t>
  </si>
  <si>
    <t>% PROGRAMADO ACUMULADO</t>
  </si>
  <si>
    <t>80% DEL PROGRAMADO ACUMULADO</t>
  </si>
  <si>
    <t>% EJECUTADO ACUMULADO</t>
  </si>
  <si>
    <t>CONCLUSIÓN:
ATRASO (-)
ADELANTO (+)</t>
  </si>
  <si>
    <t>TOTAL C/IGV</t>
  </si>
  <si>
    <t>CONTROL DE AVANCE FÍSICO DE OBRA</t>
  </si>
  <si>
    <t>VAL. N°01</t>
  </si>
  <si>
    <t>VAL. N°02</t>
  </si>
  <si>
    <t>METRADO CONTRATADO</t>
  </si>
  <si>
    <t>INCL. IGV</t>
  </si>
  <si>
    <t>MONTO DEL CONTRATO VIGENTE:</t>
  </si>
  <si>
    <t>MONTO DEL CONTRATO ORIGINAL:</t>
  </si>
  <si>
    <t xml:space="preserve">que representa el </t>
  </si>
  <si>
    <t>V</t>
  </si>
  <si>
    <t>TOTAL DÍAS</t>
  </si>
  <si>
    <t>M</t>
  </si>
  <si>
    <t>X</t>
  </si>
  <si>
    <t>S</t>
  </si>
  <si>
    <t>L</t>
  </si>
  <si>
    <t>VAL. N°03</t>
  </si>
  <si>
    <t>PROFESIONALES</t>
  </si>
  <si>
    <t>B. DEL CONTRATISTA EJECUTOR</t>
  </si>
  <si>
    <t>NO SE OTORGÓ ADELANTO</t>
  </si>
  <si>
    <t>SESENTA (60) DÍAS CALENDARIOS</t>
  </si>
  <si>
    <t>PRESUPUESTO DE OBRA</t>
  </si>
  <si>
    <t>MONTO VALORIZADO MENSUAL</t>
  </si>
  <si>
    <t>AVANCE FÍSICO MENSUAL</t>
  </si>
  <si>
    <t>METRADO ACUMULADO</t>
  </si>
  <si>
    <t>MONTO DEL CONTRATO:</t>
  </si>
  <si>
    <t>MONTO CONTRATADO</t>
  </si>
  <si>
    <t>E. ESTADO SITUACIONAL DE LA OBRA</t>
  </si>
  <si>
    <t>:</t>
  </si>
  <si>
    <t>VALOR REFERENCIAL (CON IGV)</t>
  </si>
  <si>
    <t>RESIDENTE DE OBRA</t>
  </si>
  <si>
    <t>PLAZO DE EJECUCIÓN:</t>
  </si>
  <si>
    <t>MONTO DEL CONTRATO (INCL. IGV):</t>
  </si>
  <si>
    <t>(C-D-E)</t>
  </si>
  <si>
    <t>(F)</t>
  </si>
  <si>
    <t>(F-G-H)</t>
  </si>
  <si>
    <t>MONTO BRUTO VALORIZADO REAJUSTADO</t>
  </si>
  <si>
    <t>(A+B)</t>
  </si>
  <si>
    <t>VALORIZACIÓN DEL MES SIN REAJUSTE</t>
  </si>
  <si>
    <t>RETENCIÓN DE GARANTÍA DE FIEL CUMPLIMIENTO</t>
  </si>
  <si>
    <t>SALDO POR METRAR</t>
  </si>
  <si>
    <t>OBRAS PROVISIONALES</t>
  </si>
  <si>
    <t>TRABAJOS PRELIMINARES</t>
  </si>
  <si>
    <t>MOVIMIENTO DE TIERRAS</t>
  </si>
  <si>
    <t>OBRAS DE CONCRETO SIMPLE</t>
  </si>
  <si>
    <t>OBRAS DE CONCRETO ARMADO</t>
  </si>
  <si>
    <t>LIMPIEZA DE TERRENO MANUAL</t>
  </si>
  <si>
    <t>TRAZO Y REPLANTEO EN TERRENO NORMAL</t>
  </si>
  <si>
    <t>RELLENO COMPACTADO CON MATERIAL PROPIO</t>
  </si>
  <si>
    <t>ZAPATAS</t>
  </si>
  <si>
    <t>und</t>
  </si>
  <si>
    <t>m3</t>
  </si>
  <si>
    <t>EN EJECUCIÓN</t>
  </si>
  <si>
    <t>Entidad</t>
  </si>
  <si>
    <t>Obra</t>
  </si>
  <si>
    <t>Código único de inversión</t>
  </si>
  <si>
    <t>Aprobación del expediente técnico</t>
  </si>
  <si>
    <t>Fecha de presupuesto base</t>
  </si>
  <si>
    <t>Ubicación</t>
  </si>
  <si>
    <t>Contrato</t>
  </si>
  <si>
    <t>Representante común legal</t>
  </si>
  <si>
    <t>Domicilio legal</t>
  </si>
  <si>
    <t>Proceso de selección</t>
  </si>
  <si>
    <t>Adjudicación de buena pro</t>
  </si>
  <si>
    <t>Fecha de firma del contrato</t>
  </si>
  <si>
    <t>Modalidad de ejecución</t>
  </si>
  <si>
    <t>Sistema de contratación</t>
  </si>
  <si>
    <t>Valor referencial (con IGV)</t>
  </si>
  <si>
    <t>Monto del contrato principal (incl. IGV)</t>
  </si>
  <si>
    <t>Monto del contrato vigente (incl. IGV)</t>
  </si>
  <si>
    <t>Adelanto directo otorgado</t>
  </si>
  <si>
    <t>Fecha efectiva del adelanto directo</t>
  </si>
  <si>
    <t>Adelanto de materiales otorgado</t>
  </si>
  <si>
    <t>Fecha efectiva del adelanto de materiales</t>
  </si>
  <si>
    <t>Plazo de ejecución contractual</t>
  </si>
  <si>
    <t>Residente de obra</t>
  </si>
  <si>
    <t>Fecha de entrega de terreno</t>
  </si>
  <si>
    <t>Fecha de inicio de ejecución de obra</t>
  </si>
  <si>
    <t>Plazo de ejecución</t>
  </si>
  <si>
    <t>Fecha de término programado</t>
  </si>
  <si>
    <t>Ampliaciones de plazo</t>
  </si>
  <si>
    <t>Suspensiones de plazo</t>
  </si>
  <si>
    <t>Fecha de término real</t>
  </si>
  <si>
    <t>Forma de valorización</t>
  </si>
  <si>
    <t>Situación de la obra</t>
  </si>
  <si>
    <t>Avance físico acumulado programado</t>
  </si>
  <si>
    <t xml:space="preserve">Avance físico acumulado ejecutado </t>
  </si>
  <si>
    <t>OBRA ADELANTADA</t>
  </si>
  <si>
    <t>DETRACCIONES</t>
  </si>
  <si>
    <t>DETRACCIONES (4%)</t>
  </si>
  <si>
    <t>CONTRATO PRINCIPAL</t>
  </si>
  <si>
    <t>VALORIZACIONES CONTRACTUALES</t>
  </si>
  <si>
    <t>RETENCIONES
(G.F.C)</t>
  </si>
  <si>
    <t>MONTO LÍQUIDO PAGADO</t>
  </si>
  <si>
    <t>COMPROBANTES DE PAGO</t>
  </si>
  <si>
    <t>Nro</t>
  </si>
  <si>
    <t>REAJUSTE</t>
  </si>
  <si>
    <t>DIRECTO</t>
  </si>
  <si>
    <t>MATERIALES</t>
  </si>
  <si>
    <t>EFECTIVO</t>
  </si>
  <si>
    <t>FACTURA
Nro.</t>
  </si>
  <si>
    <t>COMPROBANTE
Nro.</t>
  </si>
  <si>
    <t>FECHA DE PAGO</t>
  </si>
  <si>
    <t>(V)</t>
  </si>
  <si>
    <t>(R)</t>
  </si>
  <si>
    <t>Vb=V+R</t>
  </si>
  <si>
    <t>(D)</t>
  </si>
  <si>
    <t>(M)</t>
  </si>
  <si>
    <t>Vn=Vb-(D+M)</t>
  </si>
  <si>
    <t>(G)</t>
  </si>
  <si>
    <t>(P)</t>
  </si>
  <si>
    <t>Vn-(G+P)</t>
  </si>
  <si>
    <t>ADICIONALES, COSTO ADICIONALES, MAYORES GASTOS GENERALES, INTERESES Y OTROS</t>
  </si>
  <si>
    <t>VALORIZACIONES DE ADICIONAL</t>
  </si>
  <si>
    <t>MONTO NETO PAGADO</t>
  </si>
  <si>
    <t>G.F.C.</t>
  </si>
  <si>
    <t>ADELANTOS (C/IGV)</t>
  </si>
  <si>
    <t>Nro.</t>
  </si>
  <si>
    <t>VALORIZACIÓN NETA FACTURABLE</t>
  </si>
  <si>
    <t>TOTAL A RETENERSE POR GARANTÍA DE FIEL CUMPLIMIENTO:</t>
  </si>
  <si>
    <t>MONTO NETO VALORIZADO FACTURABLE</t>
  </si>
  <si>
    <t xml:space="preserve">RESUMEN DE VALORIZACIONES TRAMITADAS Y PAGADAS </t>
  </si>
  <si>
    <t>DÍAS ASISTIDOS EN EL MES</t>
  </si>
  <si>
    <t>Fecha de aprobación de expediente técnico</t>
  </si>
  <si>
    <t>DESCRIPCIÓN DE SUB PRESUPUESTOS</t>
  </si>
  <si>
    <t>SALDO POR PAGAR</t>
  </si>
  <si>
    <t>VALORIZACIÓN MENSUAL</t>
  </si>
  <si>
    <t xml:space="preserve"> </t>
  </si>
  <si>
    <t>CALENDARIO DE AVANCE DE OBRA VALORIZADO PROGRAMADO ADECUADO AL INICIO DE LA OBRA</t>
  </si>
  <si>
    <t>"MEJORAMIENTO Y AMPLIACION DE LOS SERVICIOS DE TRANSITABILIDAD VEHICULAR Y PEATONAL DEL JR LOS PINOS Y JR LOS CEDROS EN CAYHUAYNA Y CAYHUAYNA DEL DISTRITO DE PILLCO MARCA - PROVINCIA DE HUANUCO - DEPARTAMENTO DE HUANUCO" CON CUI N°2536252</t>
  </si>
  <si>
    <t>CREACION DE PISTAS Y VEREDAS JR LOS CEDROS</t>
  </si>
  <si>
    <t>OBRAS PROVISIONALES Y TRABAJOS PRELIMINARES</t>
  </si>
  <si>
    <t>01.01.01</t>
  </si>
  <si>
    <t>01.01.01.01</t>
  </si>
  <si>
    <t>ALQUILER  DE ALAMACEN, OFICINA Y CASETA DE GUARDIANIA</t>
  </si>
  <si>
    <t>mes</t>
  </si>
  <si>
    <t>01.01.01.02</t>
  </si>
  <si>
    <t>CARTEL DE IDENTIFICACION DE LA OBRA DE 3.60 x 4.80 m  (SOPORTE DE MADERA)</t>
  </si>
  <si>
    <t>01.01.01.03</t>
  </si>
  <si>
    <t>ALQUILER DE BAÑOS PORTATILES Y LAVADERO</t>
  </si>
  <si>
    <t>01.01.02</t>
  </si>
  <si>
    <t>01.01.02.01</t>
  </si>
  <si>
    <t>01.01.02.02</t>
  </si>
  <si>
    <t>01.01.02.03</t>
  </si>
  <si>
    <t>MOVILIZACION Y DESMOVILIZACION DE MAQUINARIA Y EQUIPO</t>
  </si>
  <si>
    <t>01.01.03</t>
  </si>
  <si>
    <t>DEMOLICIONES</t>
  </si>
  <si>
    <t>01.01.03.01</t>
  </si>
  <si>
    <t>DEMOLICION DE VEREDAS EXISTENTES DE 0.10M</t>
  </si>
  <si>
    <t>01.01.03.02</t>
  </si>
  <si>
    <t>ELIMINACION DE MATERIAL EXCEDENTE C/VOLQUETE DE 15M3 (D=10 KM)</t>
  </si>
  <si>
    <t>01.01.04</t>
  </si>
  <si>
    <t>PLAN DE DESVIO VEHICULAR</t>
  </si>
  <si>
    <t>01.01.04.01</t>
  </si>
  <si>
    <t>TRANQUERAS DE MADERA 2.40 x 1.20</t>
  </si>
  <si>
    <t>01.01.04.02</t>
  </si>
  <si>
    <t>SEÑALIZACION DE DESVIO DE TRANSITO EN PERIODO DE CONSTRUCCION</t>
  </si>
  <si>
    <t>01.02</t>
  </si>
  <si>
    <t>PAVIMENTO RIGIDO</t>
  </si>
  <si>
    <t>01.02.01</t>
  </si>
  <si>
    <t>MOVIMIENTO DE TIERRAS HASTA EL NIVEL DE SUB - RASANTE</t>
  </si>
  <si>
    <t>01.02.01.01</t>
  </si>
  <si>
    <t>CORTE EN TERRENO NORMAL CON MAQUINARIA</t>
  </si>
  <si>
    <t>01.02.01.02</t>
  </si>
  <si>
    <t>RELLENO COMPACTACION CON MATERIAL PROPIO SELECCIONADO</t>
  </si>
  <si>
    <t>01.02.01.03</t>
  </si>
  <si>
    <t>ELIMINACION DE MATERIAL EXCEDENTE C/VOLQUETE DE 15M3 (D=10KM)</t>
  </si>
  <si>
    <t>01.02.02</t>
  </si>
  <si>
    <t xml:space="preserve">BASE </t>
  </si>
  <si>
    <t>01.02.02.01</t>
  </si>
  <si>
    <t>CONFORMACION DE BASE MATERIAL MEZCLADO E=0.20m</t>
  </si>
  <si>
    <t>01.02.03</t>
  </si>
  <si>
    <t>SUB RASANTE</t>
  </si>
  <si>
    <t>01.02.03.01</t>
  </si>
  <si>
    <t>PERFILADO, RIEGO Y COMPACTACIÓN DE SUBRASANTE</t>
  </si>
  <si>
    <t>01.02.04</t>
  </si>
  <si>
    <t>OBRAS DE CONCRETO</t>
  </si>
  <si>
    <t>01.02.04.01</t>
  </si>
  <si>
    <t>ENCOFRADO Y DESENCOFRADO EN PAVIMENTOS</t>
  </si>
  <si>
    <t>01.02.04.02</t>
  </si>
  <si>
    <t>CONCRETO F'C =210 KG/CM2 EN VIA E=15CM</t>
  </si>
  <si>
    <t>01.02.04.03</t>
  </si>
  <si>
    <t xml:space="preserve">CURADO DE CONCRETO </t>
  </si>
  <si>
    <t>01.02.04.04</t>
  </si>
  <si>
    <t>ACERO FY = 4200Kg/cm2 EN JUNTAS DE DILATACION LONGITUDINAL Ø 3/8"</t>
  </si>
  <si>
    <t>01.02.04.05</t>
  </si>
  <si>
    <t>ACERO FY = 2400Kg/cm2 GRADO 60 EN JUNTAS DE DILATACION TRANSVERSAL Ø 3/4"</t>
  </si>
  <si>
    <t>01.02.04.06</t>
  </si>
  <si>
    <t>JUNTA DE AISLAMIENTO e=1" X 0.20 m</t>
  </si>
  <si>
    <t>01.02.04.07</t>
  </si>
  <si>
    <t>JUNTA  DE DILATACION e=1" X 0.10 m</t>
  </si>
  <si>
    <t>01.02.04.08</t>
  </si>
  <si>
    <t>JUNTAS DE CONTRACCION CON ELASTOMERICO DE POLIURETANO E=1/2" X 0.10m</t>
  </si>
  <si>
    <t>01.02.05</t>
  </si>
  <si>
    <t>NIVELACION DE BUZONES</t>
  </si>
  <si>
    <t>01.02.05.01</t>
  </si>
  <si>
    <t>NIVELACION DE BUZONES EN GENERAL</t>
  </si>
  <si>
    <t>01.02.06</t>
  </si>
  <si>
    <t xml:space="preserve">SEÑALIZACION </t>
  </si>
  <si>
    <t>01.02.06.01</t>
  </si>
  <si>
    <t>PINTURA EN PAVIMENTO (SIMBOLO Y LETRA)</t>
  </si>
  <si>
    <t>01.02.06.02</t>
  </si>
  <si>
    <t>PINTURA DE PAVIMENTO (LINEAS DISCONTINUAS CENTRALES)</t>
  </si>
  <si>
    <t>01.02.06.03</t>
  </si>
  <si>
    <t>SEÑALIZACION VERTICAL</t>
  </si>
  <si>
    <t>01.03</t>
  </si>
  <si>
    <t xml:space="preserve">VEREDAS, RAMPAS Y MARTILLOS </t>
  </si>
  <si>
    <t>01.03.01</t>
  </si>
  <si>
    <t>01.03.01.01</t>
  </si>
  <si>
    <t>EXCAVACION EN TERRENO NORMAL C/MAQUINARIA LIVIANA</t>
  </si>
  <si>
    <t>01.03.01.02</t>
  </si>
  <si>
    <t>RELLENO Y COMPACTACION CON MATERIAL PROPIO SELECCIONADO</t>
  </si>
  <si>
    <t>01.03.01.03</t>
  </si>
  <si>
    <t>01.03.01.04</t>
  </si>
  <si>
    <t>PERFILADO Y COMPACTADO CON PLANCHA</t>
  </si>
  <si>
    <t>01.03.01.05</t>
  </si>
  <si>
    <t>CONFORMACIÓN Y COMPACTACIÓN DE BASE EN VEREDAS Y RAMPAS (e=10cm)</t>
  </si>
  <si>
    <t>01.03.02</t>
  </si>
  <si>
    <t>OBRAS DE CONCRETO EN VEREDAS</t>
  </si>
  <si>
    <t>01.03.02.01</t>
  </si>
  <si>
    <t>ENCOFRADO Y DESENCOFRADO EN VEREDAS</t>
  </si>
  <si>
    <t>01.03.02.02</t>
  </si>
  <si>
    <t>CONCRETO F'c=175 kg/cm2 (E=4") EN VEREDA CON ACABADO FROTACHADO Y BRUÑADO S/DISEÑO</t>
  </si>
  <si>
    <t>01.03.02.03</t>
  </si>
  <si>
    <t>CONCRETO F'c=175 kg/cm2 PARA UÑA EN VEREDA (A=0.025 m2)</t>
  </si>
  <si>
    <t>01.03.02.04</t>
  </si>
  <si>
    <t>CURADO DE CONCRETO</t>
  </si>
  <si>
    <t>01.03.02.05</t>
  </si>
  <si>
    <t>JUNTA ASFALTICA</t>
  </si>
  <si>
    <t>01.03.03</t>
  </si>
  <si>
    <t>OBRAS DE CONCRETO EN RAMPA</t>
  </si>
  <si>
    <t>01.03.03.01</t>
  </si>
  <si>
    <t>ENCOFRADO Y DESENCOFRADO EN RAMPAS</t>
  </si>
  <si>
    <t>01.03.03.02</t>
  </si>
  <si>
    <t>CONCRETO F'c=175 KG/CM2, ACABADO 1:2 BRUÑADO Y FROTACHADO</t>
  </si>
  <si>
    <t>01.03.03.03</t>
  </si>
  <si>
    <t>CURADO DE CONCRETO EN RAMPA</t>
  </si>
  <si>
    <t>01.03.03.04</t>
  </si>
  <si>
    <t>01.03.04</t>
  </si>
  <si>
    <t>OBRAS DE CONCRETO EN MARTILLO</t>
  </si>
  <si>
    <t>01.03.04.01</t>
  </si>
  <si>
    <t>CONCRETO F'c=175 KG/CM2, ACABADO FROTACHADO</t>
  </si>
  <si>
    <t>01.03.04.02</t>
  </si>
  <si>
    <t>ENCOFRADO Y DESENCOFRADO DE MARTILLOS</t>
  </si>
  <si>
    <t>01.03.04.03</t>
  </si>
  <si>
    <t>UÑA DE CONCRETO SUMERGIDOF'c=175 kg/cm2A=0.13m</t>
  </si>
  <si>
    <t>01.03.04.04</t>
  </si>
  <si>
    <t>01.03.05</t>
  </si>
  <si>
    <t>NIVELACION DE CONEXIONES DOMICILIARIAS</t>
  </si>
  <si>
    <t>01.03.05.01</t>
  </si>
  <si>
    <t>NIVELACION DE CONEXIONES DOMICILIARIAS DE AGUA</t>
  </si>
  <si>
    <t>01.03.05.02</t>
  </si>
  <si>
    <t>NIVELACION DE CONEXIONES DOMICILIARIAS DE DESAGUE</t>
  </si>
  <si>
    <t>01.04</t>
  </si>
  <si>
    <t>CUNETA PLUVIAL</t>
  </si>
  <si>
    <t>01.04.01</t>
  </si>
  <si>
    <t>MOVIMIENTO DE TIERRAS HASTA NIVEL DE SUB-RAZANTE</t>
  </si>
  <si>
    <t>01.04.01.01</t>
  </si>
  <si>
    <t>EXCAVACION EN TERRENO NORMAL</t>
  </si>
  <si>
    <t>01.04.01.02</t>
  </si>
  <si>
    <t>01.04.01.03</t>
  </si>
  <si>
    <t>ACARREO DE MATERIAL EXCEDENTE HASTA 30 M</t>
  </si>
  <si>
    <t>01.04.01.04</t>
  </si>
  <si>
    <t>01.04.01.05</t>
  </si>
  <si>
    <t>CONFORMACIÓN Y COMPACTACIÓN SUBRASANTE C/PLANCHA</t>
  </si>
  <si>
    <t>01.04.02</t>
  </si>
  <si>
    <t>OBRAS DE CONCRETO SIMPLE EN CUNETAS</t>
  </si>
  <si>
    <t>01.04.02.01</t>
  </si>
  <si>
    <t>ENCOFRADO Y DESENCOFRADO EN CUNETA TRIANGULAR</t>
  </si>
  <si>
    <t>01.04.02.02</t>
  </si>
  <si>
    <t xml:space="preserve">CONCRETO F'C =175 KG/CM2 EN CUNETA TRIANGULAR </t>
  </si>
  <si>
    <t>01.04.02.03</t>
  </si>
  <si>
    <t>CURADO DE CONCRETO TRIANGULAR</t>
  </si>
  <si>
    <t>01.04.02.04</t>
  </si>
  <si>
    <t>JUNTA TRANSVERSAL DE DILATACION e=20mm</t>
  </si>
  <si>
    <t>01.05</t>
  </si>
  <si>
    <t>SARDINELES DE CONCRETO</t>
  </si>
  <si>
    <t>01.05.01</t>
  </si>
  <si>
    <t>MOVIMIENTO DE TIERRAS HASTA NIVEL DE SUB RAZANTE</t>
  </si>
  <si>
    <t>01.05.01.01</t>
  </si>
  <si>
    <t>01.05.01.02</t>
  </si>
  <si>
    <t>01.05.01.03</t>
  </si>
  <si>
    <t>01.05.01.04</t>
  </si>
  <si>
    <t>01.05.02</t>
  </si>
  <si>
    <t>OBRAS DE CONCRETO EN SARDINEL  ARMADO</t>
  </si>
  <si>
    <t>01.05.02.01</t>
  </si>
  <si>
    <t>ACERO CORRUGADO F'Y=4200 KG/CM2 GRADO 60</t>
  </si>
  <si>
    <t>01.05.02.02</t>
  </si>
  <si>
    <t>ENCOFRADO Y DESENCOFRADO EN SARDINELES</t>
  </si>
  <si>
    <t>01.05.02.03</t>
  </si>
  <si>
    <t>CONCRETO F'C=175 KG/CM2 PARA SARDINEL (b=0.15m , h=0.40m) ACABADO SOLAQUEADO</t>
  </si>
  <si>
    <t>01.05.02.04</t>
  </si>
  <si>
    <t>01.05.02.05</t>
  </si>
  <si>
    <t>01.06</t>
  </si>
  <si>
    <t>MURO DE CONTENCION</t>
  </si>
  <si>
    <t>01.06.01</t>
  </si>
  <si>
    <t>TRABAJO PRELIMINARES</t>
  </si>
  <si>
    <t>01.06.01.01</t>
  </si>
  <si>
    <t>01.06.01.02</t>
  </si>
  <si>
    <t>TRAZO Y REPLANTEO PRELIMINAR</t>
  </si>
  <si>
    <t>01.06.02</t>
  </si>
  <si>
    <t>01.06.02.01</t>
  </si>
  <si>
    <t>01.06.02.02</t>
  </si>
  <si>
    <t>RELLENO Y COMPACTACION CON MATERIAL PROPIO</t>
  </si>
  <si>
    <t>01.06.02.03</t>
  </si>
  <si>
    <t>01.06.03</t>
  </si>
  <si>
    <t>01.06.03.01</t>
  </si>
  <si>
    <t>SOLADO DE CONCRETO C:H 1:10 E:2"</t>
  </si>
  <si>
    <t>01.06.04</t>
  </si>
  <si>
    <t>01.06.04.01</t>
  </si>
  <si>
    <t>01.06.04.01.01</t>
  </si>
  <si>
    <t>01.06.04.01.02</t>
  </si>
  <si>
    <t>ENCOFRADO Y DESENCOFRADO EN ZAPATAS</t>
  </si>
  <si>
    <t>01.06.04.01.03</t>
  </si>
  <si>
    <t>CONCRETO F'C =210 KG/CM2 EN ZAPATAS</t>
  </si>
  <si>
    <t>01.06.04.01.04</t>
  </si>
  <si>
    <t>01.06.04.02</t>
  </si>
  <si>
    <t>MURO DE CONCRETO</t>
  </si>
  <si>
    <t>01.06.04.02.01</t>
  </si>
  <si>
    <t>01.06.04.02.02</t>
  </si>
  <si>
    <t>ENCOFRADO Y DESENCOFRADO EN MURO DE CONTENCION</t>
  </si>
  <si>
    <t>01.06.04.02.03</t>
  </si>
  <si>
    <t>CONCRETO F'C =210 KG/CM2 EN MURO DE CONTENCION</t>
  </si>
  <si>
    <t>01.06.04.02.04</t>
  </si>
  <si>
    <t>01.07</t>
  </si>
  <si>
    <t>GRADERIAS</t>
  </si>
  <si>
    <t>01.07.01</t>
  </si>
  <si>
    <t>01.07.01.01</t>
  </si>
  <si>
    <t>CORTE EN TERRENO NORMAL A MANO</t>
  </si>
  <si>
    <t>01.07.01.02</t>
  </si>
  <si>
    <t>RELLENO DE CALZADA CON AFIRMADO</t>
  </si>
  <si>
    <t>01.07.01.03</t>
  </si>
  <si>
    <t>CONFORMACION Y COMPACTACION DE SUBRASANTE EN ESCALINATA</t>
  </si>
  <si>
    <t>01.07.01.04</t>
  </si>
  <si>
    <t>01.07.01.05</t>
  </si>
  <si>
    <t>AFIRMADO DE 4" PARA ESCALINATAS</t>
  </si>
  <si>
    <t>01.07.02</t>
  </si>
  <si>
    <t>01.07.02.01</t>
  </si>
  <si>
    <t>CONCRETO EN GRADAS f'c=175 kg/cm2</t>
  </si>
  <si>
    <t>01.07.02.02</t>
  </si>
  <si>
    <t>ENCOFRADO Y DESENCOFRADO NORMAL EN GRADAS</t>
  </si>
  <si>
    <t>01.07.02.03</t>
  </si>
  <si>
    <t>CURADO  DE CONCRETO ESCALINATA</t>
  </si>
  <si>
    <t>01.08</t>
  </si>
  <si>
    <t>JARDINERIA</t>
  </si>
  <si>
    <t>01.08.01</t>
  </si>
  <si>
    <t>SUMINISTRO E INSTALACION DE TIERRA DE CHACRA</t>
  </si>
  <si>
    <t>01.08.02</t>
  </si>
  <si>
    <t>GRASS NATURAL</t>
  </si>
  <si>
    <t>01.09</t>
  </si>
  <si>
    <t>PLANTAS DECORATIVAS</t>
  </si>
  <si>
    <t>01.09.01</t>
  </si>
  <si>
    <t xml:space="preserve">PLANTA DECORATIVA </t>
  </si>
  <si>
    <t>01.10</t>
  </si>
  <si>
    <t>01.10.01</t>
  </si>
  <si>
    <t>REUBICACION DE POSTES DE ALUMBRADO PUBLICO</t>
  </si>
  <si>
    <t>01.11</t>
  </si>
  <si>
    <t>SEGURIDAD Y SALUD</t>
  </si>
  <si>
    <t>01.11.01</t>
  </si>
  <si>
    <t>ELABORACION, IMPLEMENTACION Y ADMINISTRACION DEL PLAN DE SEGURIDAD Y SALUD EN EL TRABAJO</t>
  </si>
  <si>
    <t>01.11.02</t>
  </si>
  <si>
    <t>EQUIPOS DE PROTECCIÓN INDIVIDUAL</t>
  </si>
  <si>
    <t>01.11.03</t>
  </si>
  <si>
    <t>EQUIPOS DE PROTECCION COLECTIVA</t>
  </si>
  <si>
    <t>01.11.04</t>
  </si>
  <si>
    <t>CAPACITACION EN SEGURIDAD Y SALUD</t>
  </si>
  <si>
    <t>01.11.05</t>
  </si>
  <si>
    <t>RECURSOS PARA RESPUESTA ANTE EMERGENCIAS EN SEGURIDAD Y SALUD DURANTE EL TRABAJO</t>
  </si>
  <si>
    <t>01.12</t>
  </si>
  <si>
    <t>FLETE</t>
  </si>
  <si>
    <t>01.12.01</t>
  </si>
  <si>
    <t xml:space="preserve">  FLETE TERRESTRE</t>
  </si>
  <si>
    <t>01.13</t>
  </si>
  <si>
    <t>IMPACTO AMBIENTAL</t>
  </si>
  <si>
    <t>01.13.01</t>
  </si>
  <si>
    <t>PLAN DE MITIGACIÓN AMBIENTAL DURANTE OBRA</t>
  </si>
  <si>
    <t>01.13.02</t>
  </si>
  <si>
    <t>PLAN DE MANEJO DE RESIDUOS SÓLIDOS</t>
  </si>
  <si>
    <t>01.13.03</t>
  </si>
  <si>
    <t>MONITOREO DE LA CALIDAD DEL AIRE</t>
  </si>
  <si>
    <t>pto</t>
  </si>
  <si>
    <t>01.13.04</t>
  </si>
  <si>
    <t>MONITOREO DE NIVELES DE RUÍDO</t>
  </si>
  <si>
    <t>01.13.05</t>
  </si>
  <si>
    <t>RIEGO DURANTE LA EJECUCIÓN</t>
  </si>
  <si>
    <t>01.13.06</t>
  </si>
  <si>
    <t>LIMPIEZA FINAL DEL TERRENO</t>
  </si>
  <si>
    <t>"MEJORAMIENTO Y AMPLIACIÓN DE LOS SERVICIOS DE TRANSITABILIDAD VEHICULAR Y PEATONAL DEL JR LOS PINOS Y JR LOS CEDROS EN CAYHUAYNA Y CAYHUAYNA DEL DISTRITO DE PILLCO MARCA - PROVINCIA DE HUÁNUCO - DEPARTAMENTO DE HUÁNUCO" con CUI N°2536252</t>
  </si>
  <si>
    <t>CONTRATO DE EJECUCIÓN DE OBRA N°004-2026-MDPM/GM</t>
  </si>
  <si>
    <t>SR. CALLUPE JARA KENEDY ISAAC</t>
  </si>
  <si>
    <t>CONSORCIO EJECUTOR LOS PINOS</t>
  </si>
  <si>
    <t>BARRIO USHNOPATA N° S/N CP MENOR HUANCACHUPA -PILLCO MARCA -HUÁNUCO</t>
  </si>
  <si>
    <t>LICITACION PÚBLICA ABREVIADA DE OBRAS N°04-2026-MDPM/C-1</t>
  </si>
  <si>
    <t>PRECIOS UNITARIOS</t>
  </si>
  <si>
    <t>MOVILIZACION Y DESMOVILIZACIÓN DE MAQUINARIA Y EQUIPO</t>
  </si>
  <si>
    <t>ING. RAMIREZ BLANCO GABRIEL AUGUSTO HERMOGENES</t>
  </si>
  <si>
    <t>AVANCE MENSUAL</t>
  </si>
  <si>
    <t>AVANCE ACUMULADO</t>
  </si>
  <si>
    <t>En ese sentido, se PROGRAMÓ realizar la RETENCIÓN DE GARANTÍA DE FIEL CUMPLIMIENTO en el primer pago, es decir, en la primera valorización, por un monto de retención total de S/ 63,882.75 (Sesenta y Tres Mil Ochocientos Ochenta y Dos con 75/100 soles) incluido IGV. Para dicho efecto, se verifica que las empresas consorciadas se encuentran registrados en el REMYPE.</t>
  </si>
  <si>
    <t>MONTO VALORIZADO</t>
  </si>
  <si>
    <t>Ejecutor:</t>
  </si>
  <si>
    <t>Ejecutor</t>
  </si>
  <si>
    <t>Monto del contrato:</t>
  </si>
  <si>
    <t>Obra:</t>
  </si>
  <si>
    <t>Entidad:</t>
  </si>
  <si>
    <t>Residente:</t>
  </si>
  <si>
    <t>CONTROL DE AVANCE FINANCIERO DE OBRA</t>
  </si>
  <si>
    <t>Periodo</t>
  </si>
  <si>
    <t>Monto Facturables</t>
  </si>
  <si>
    <t>Montos Devengados</t>
  </si>
  <si>
    <t>Montos Pendientes por devengar</t>
  </si>
  <si>
    <t>Adelanto directo</t>
  </si>
  <si>
    <t>Adelanto de materiales</t>
  </si>
  <si>
    <t>Valorización N°01</t>
  </si>
  <si>
    <t>Valorización N°02</t>
  </si>
  <si>
    <t>A. Adelantos otorgados</t>
  </si>
  <si>
    <t>B. Valorizaciones de obra</t>
  </si>
  <si>
    <t>Montos</t>
  </si>
  <si>
    <t>Valorización N°03</t>
  </si>
  <si>
    <t>AVANCE FÍSICO</t>
  </si>
  <si>
    <t>RESUMEN DE VALORIZACIÓN POR COMPONENTES</t>
  </si>
  <si>
    <r>
      <t xml:space="preserve">Según el REGLAMENTO DE LA LEY GENERAL DE CONTRATACIONES PÚBLICAS:
</t>
    </r>
    <r>
      <rPr>
        <sz val="11"/>
        <rFont val="Agency FB"/>
        <family val="2"/>
      </rPr>
      <t>El CONSORCIO EJECUTOR LOS PINOS con el objetivo de cumplir con el Artículo 114 del Reglamento de la Ley N°32069, Ley General de Contrataciones Públicas, en los contratos de ejecución de obras que celebren las Entidades con las micro y pequeñas empresas (MYPES), estas últimas pueden otorgar como Garantía de Fiel Cumplimiento el diez por ciento (10%) del monto del contrato original, cuyo monto asciende a S/ 63,882.75 (Sesenta y Tres Mil Ochocientos Ochenta y Dos con 75/100 soles) incluido IGV, porcentaje que es retenido por la Entidad durante la primera mitad del número de pagos a realizarse, en forma prorrateada, con cargo a ser devuelto en la liquidación de la Obra.</t>
    </r>
  </si>
  <si>
    <t>RESUMEN DE METRADOS EJECUTADOS EN EL PRESENTE MES</t>
  </si>
  <si>
    <t>RESOLUCIÓN DE GERENCIA N°125-2026-MDPM/GM</t>
  </si>
  <si>
    <t>LOCALIDAD: CAYHUAYNA</t>
  </si>
  <si>
    <t>Situación del avance físico</t>
  </si>
  <si>
    <t>ING. PAJUELO VASQUEZ, BAYLON ARTURO</t>
  </si>
  <si>
    <t>ESPECIALISTA DE SEGURIDAD Y SALUD EN EL TRABAJO</t>
  </si>
  <si>
    <t>VALORIZACIÓN N°02 DEL MES DE JULIO DE 2026</t>
  </si>
  <si>
    <t>AVANCE PROGRAMADO VS. EJECUTADO (JULIO 2026)</t>
  </si>
  <si>
    <t>El monto a facturar por el contratista ejecutor CONSORCIO EJECUTOR LOS PINOS en la presente VALORIZACIÓN N°02 DEL MES DE JULIO DE 2026, asciende a la suma de S/ 224,198.55 (Doscientos Veinticuatro Mil Ciento Noventa y Ocho con 55/100 soles) incluido IGV.</t>
  </si>
  <si>
    <t>CRONOGRAMA DE PARTICIPACIÓN DE PERSONAL CLAVE - JULIO 2026</t>
  </si>
  <si>
    <t>Contratista</t>
  </si>
  <si>
    <t>Ruc N°</t>
  </si>
  <si>
    <t>Representante legal</t>
  </si>
  <si>
    <t>CONTRATO MENOR</t>
  </si>
  <si>
    <t>Fecha de cuantía de contratación</t>
  </si>
  <si>
    <t>Valor referencial (incl. IGV)</t>
  </si>
  <si>
    <t>Plazo de prestación del servicio</t>
  </si>
  <si>
    <t>NOVENTA (90) DÍAS CALENDARIOS</t>
  </si>
  <si>
    <t>Supervisor de obra</t>
  </si>
  <si>
    <t>PROYECTA PCL S.A.C</t>
  </si>
  <si>
    <t>SR. JOSÉ EDUARDO NIEVES CUADROS (DNI N°47768125)</t>
  </si>
  <si>
    <t>JR. BOLÍVAR HUÁNUCO - HUÁNUCO - HUÁNUCO</t>
  </si>
  <si>
    <t>CONTRATO DE CONSULTORÍA DE OBRA N°010-2026-MDPM/GM</t>
  </si>
  <si>
    <t>ADELANTADA EN 41.32%</t>
  </si>
  <si>
    <t>ING. CESAR RICARDO ZELADA RODRIGUEZ (CIP N°
98469)</t>
  </si>
  <si>
    <t>Supervisor:</t>
  </si>
  <si>
    <t>Ing. Supervisor:</t>
  </si>
  <si>
    <t>Monto del contrato original (incl. IGV)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</si>
</sst>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S/&quot;\ #,##0.00;\-&quot;S/&quot;\ #,##0.00"/>
    <numFmt numFmtId="8" formatCode="&quot;S/&quot;\ #,##0.00;[Red]\-&quot;S/&quot;\ #,##0.00"/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* #,##0.00\ &quot;€&quot;_-;\-* #,##0.00\ &quot;€&quot;_-;_-* &quot;-&quot;??\ &quot;€&quot;_-;_-@_-"/>
    <numFmt numFmtId="166" formatCode="_ * #,##0.00_ ;_ * \-#,##0.00_ ;_ * &quot;-&quot;??_ ;_ @_ "/>
    <numFmt numFmtId="167" formatCode="_(* #,##0.00_);_(* \(#,##0.00\);_(* &quot;-&quot;??_);_(@_)"/>
    <numFmt numFmtId="168" formatCode="00"/>
    <numFmt numFmtId="169" formatCode="0.000%"/>
    <numFmt numFmtId="170" formatCode="&quot;s/. &quot;#,##0.00"/>
    <numFmt numFmtId="171" formatCode="0.000"/>
    <numFmt numFmtId="172" formatCode="&quot;S/.&quot;\ #,##0.00"/>
    <numFmt numFmtId="173" formatCode="_-* #,##0\ _P_t_s_-;\-* #,##0\ _P_t_s_-;_-* &quot;-&quot;\ _P_t_s_-;_-@_-"/>
    <numFmt numFmtId="174" formatCode="&quot;S/&quot;\ #,##0.00"/>
    <numFmt numFmtId="175" formatCode="_ &quot;S/.&quot;\ * #,##0.00_ ;_ &quot;S/.&quot;\ * \-#,##0.00_ ;_ &quot;S/.&quot;\ * &quot;-&quot;??_ ;_ @_ "/>
    <numFmt numFmtId="176" formatCode="_ * #,##0_ ;_ * \-#,##0_ ;_ * &quot;-&quot;??_ ;_ @_ "/>
    <numFmt numFmtId="177" formatCode="0.00000"/>
    <numFmt numFmtId="178" formatCode="_-[$€-2]* #,##0.00_-;\-[$€-2]* #,##0.00_-;_-[$€-2]* &quot;-&quot;??_-"/>
    <numFmt numFmtId="179" formatCode="[$-C0A]d\ &quot;de&quot;\ mmmm\ &quot;de&quot;\ yyyy;@"/>
    <numFmt numFmtId="180" formatCode="mmm\-yyyy"/>
    <numFmt numFmtId="181" formatCode="#,##0.00_ ;\-#,##0.00\ "/>
    <numFmt numFmtId="182" formatCode="General\ &quot;DÍAS CALENDARIOS&quot;"/>
  </numFmts>
  <fonts count="8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7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b/>
      <u/>
      <sz val="8"/>
      <name val="Arial"/>
      <family val="2"/>
    </font>
    <font>
      <sz val="11"/>
      <name val="Calibri"/>
      <family val="2"/>
      <scheme val="minor"/>
    </font>
    <font>
      <sz val="8"/>
      <name val="Century Gothic"/>
      <family val="2"/>
    </font>
    <font>
      <b/>
      <sz val="8"/>
      <name val="Century Gothic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name val="Courier"/>
      <family val="3"/>
    </font>
    <font>
      <sz val="10"/>
      <name val="Times New Roman"/>
      <family val="1"/>
      <charset val="204"/>
    </font>
    <font>
      <sz val="10"/>
      <color indexed="8"/>
      <name val="MS Sans Serif"/>
      <family val="2"/>
    </font>
    <font>
      <sz val="24"/>
      <name val="Arial"/>
      <family val="2"/>
    </font>
    <font>
      <sz val="6"/>
      <name val="Times New Roman"/>
      <family val="1"/>
    </font>
    <font>
      <sz val="8"/>
      <name val="Times New Roman"/>
      <family val="1"/>
    </font>
    <font>
      <b/>
      <sz val="11.05"/>
      <color indexed="8"/>
      <name val="Arial"/>
      <family val="2"/>
    </font>
    <font>
      <b/>
      <sz val="12"/>
      <color rgb="FFFF0000"/>
      <name val="Agency FB"/>
      <family val="2"/>
    </font>
    <font>
      <sz val="12"/>
      <name val="Agency FB"/>
      <family val="2"/>
    </font>
    <font>
      <b/>
      <sz val="12"/>
      <name val="Agency FB"/>
      <family val="2"/>
    </font>
    <font>
      <sz val="11"/>
      <name val="Agency FB"/>
      <family val="2"/>
    </font>
    <font>
      <b/>
      <sz val="11"/>
      <color rgb="FFFF0000"/>
      <name val="Agency FB"/>
      <family val="2"/>
    </font>
    <font>
      <b/>
      <sz val="11"/>
      <color rgb="FF0000FF"/>
      <name val="Agency FB"/>
      <family val="2"/>
    </font>
    <font>
      <b/>
      <sz val="11"/>
      <color rgb="FF00B050"/>
      <name val="Agency FB"/>
      <family val="2"/>
    </font>
    <font>
      <b/>
      <sz val="11"/>
      <color rgb="FFFF33CC"/>
      <name val="Agency FB"/>
      <family val="2"/>
    </font>
    <font>
      <b/>
      <sz val="11"/>
      <color theme="5"/>
      <name val="Agency FB"/>
      <family val="2"/>
    </font>
    <font>
      <b/>
      <sz val="18"/>
      <name val="Agency FB"/>
      <family val="2"/>
    </font>
    <font>
      <b/>
      <sz val="11"/>
      <color theme="9"/>
      <name val="Agency FB"/>
      <family val="2"/>
    </font>
    <font>
      <b/>
      <sz val="11"/>
      <name val="Agency FB"/>
      <family val="2"/>
    </font>
    <font>
      <sz val="18"/>
      <name val="Agency FB"/>
      <family val="2"/>
    </font>
    <font>
      <sz val="14"/>
      <name val="Agency FB"/>
      <family val="2"/>
    </font>
    <font>
      <sz val="11"/>
      <color theme="0"/>
      <name val="Agency FB"/>
      <family val="2"/>
    </font>
    <font>
      <sz val="11"/>
      <color rgb="FFFF0000"/>
      <name val="Agency FB"/>
      <family val="2"/>
    </font>
    <font>
      <b/>
      <sz val="11"/>
      <color rgb="FFFF00FF"/>
      <name val="Agency FB"/>
      <family val="2"/>
    </font>
    <font>
      <b/>
      <sz val="12"/>
      <color theme="1"/>
      <name val="Agency FB"/>
      <family val="2"/>
    </font>
    <font>
      <b/>
      <sz val="11"/>
      <color theme="1"/>
      <name val="Agency FB"/>
      <family val="2"/>
    </font>
    <font>
      <b/>
      <sz val="11"/>
      <color rgb="FF0033CC"/>
      <name val="Agency FB"/>
      <family val="2"/>
    </font>
    <font>
      <sz val="12"/>
      <color theme="1"/>
      <name val="Agency FB"/>
      <family val="2"/>
    </font>
    <font>
      <sz val="11"/>
      <color rgb="FF0033CC"/>
      <name val="Agency FB"/>
      <family val="2"/>
    </font>
    <font>
      <sz val="11"/>
      <color rgb="FF000000"/>
      <name val="Agency FB"/>
      <family val="2"/>
    </font>
    <font>
      <b/>
      <sz val="14"/>
      <name val="Agency FB"/>
      <family val="2"/>
    </font>
    <font>
      <sz val="11"/>
      <name val="Calibri"/>
      <family val="2"/>
    </font>
    <font>
      <sz val="9.5"/>
      <color rgb="FF000000"/>
      <name val="Agency FB"/>
      <family val="2"/>
    </font>
    <font>
      <sz val="9.5"/>
      <name val="Agency FB"/>
      <family val="2"/>
    </font>
    <font>
      <b/>
      <sz val="9.5"/>
      <color rgb="FF000000"/>
      <name val="Agency FB"/>
      <family val="2"/>
    </font>
    <font>
      <b/>
      <sz val="11"/>
      <color indexed="20"/>
      <name val="Agency FB"/>
      <family val="2"/>
    </font>
    <font>
      <sz val="11"/>
      <color indexed="8"/>
      <name val="Agency FB"/>
      <family val="2"/>
    </font>
    <font>
      <b/>
      <sz val="11"/>
      <color indexed="10"/>
      <name val="Agency FB"/>
      <family val="2"/>
    </font>
    <font>
      <b/>
      <sz val="11"/>
      <color indexed="12"/>
      <name val="Agency FB"/>
      <family val="2"/>
    </font>
    <font>
      <b/>
      <sz val="11"/>
      <color indexed="17"/>
      <name val="Agency FB"/>
      <family val="2"/>
    </font>
    <font>
      <sz val="12"/>
      <color rgb="FFFF0000"/>
      <name val="Agency FB"/>
      <family val="2"/>
    </font>
    <font>
      <sz val="11"/>
      <name val="Swis721 LtCn BT"/>
      <family val="2"/>
    </font>
    <font>
      <b/>
      <sz val="11"/>
      <color theme="0"/>
      <name val="Swis721 LtCn BT"/>
      <family val="2"/>
    </font>
    <font>
      <b/>
      <sz val="13"/>
      <name val="Agency FB"/>
      <family val="2"/>
    </font>
    <font>
      <sz val="13"/>
      <name val="Agency FB"/>
      <family val="2"/>
    </font>
    <font>
      <sz val="10"/>
      <name val="Agency FB"/>
      <family val="2"/>
    </font>
    <font>
      <sz val="10"/>
      <color indexed="9"/>
      <name val="Agency FB"/>
      <family val="2"/>
    </font>
    <font>
      <b/>
      <sz val="11"/>
      <color theme="0"/>
      <name val="Agency FB"/>
      <family val="2"/>
    </font>
  </fonts>
  <fills count="2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D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lightGray">
        <fgColor theme="4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1BB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B1BBCC"/>
      </right>
      <top style="thin">
        <color auto="1"/>
      </top>
      <bottom style="hair">
        <color auto="1"/>
      </bottom>
      <diagonal/>
    </border>
    <border>
      <left style="thin">
        <color rgb="FFB1BBCC"/>
      </left>
      <right style="thin">
        <color rgb="FFB1BBCC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B1BBCC"/>
      </right>
      <top style="hair">
        <color auto="1"/>
      </top>
      <bottom style="hair">
        <color auto="1"/>
      </bottom>
      <diagonal/>
    </border>
    <border>
      <left style="thin">
        <color rgb="FFB1BBCC"/>
      </left>
      <right style="thin">
        <color rgb="FFB1BBCC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B1BBCC"/>
      </right>
      <top style="hair">
        <color auto="1"/>
      </top>
      <bottom style="thin">
        <color auto="1"/>
      </bottom>
      <diagonal/>
    </border>
    <border>
      <left style="thin">
        <color rgb="FFB1BBCC"/>
      </left>
      <right style="thin">
        <color rgb="FFB1BBCC"/>
      </right>
      <top style="hair">
        <color auto="1"/>
      </top>
      <bottom style="thin">
        <color auto="1"/>
      </bottom>
      <diagonal/>
    </border>
    <border>
      <left style="thin">
        <color rgb="FFB1BBCC"/>
      </left>
      <right/>
      <top style="thin">
        <color auto="1"/>
      </top>
      <bottom style="hair">
        <color auto="1"/>
      </bottom>
      <diagonal/>
    </border>
    <border>
      <left style="thin">
        <color rgb="FFB1BBCC"/>
      </left>
      <right/>
      <top style="hair">
        <color auto="1"/>
      </top>
      <bottom style="hair">
        <color auto="1"/>
      </bottom>
      <diagonal/>
    </border>
    <border>
      <left style="thin">
        <color rgb="FFB1BBCC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87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9" fontId="10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23" fillId="0" borderId="0">
      <alignment vertical="center"/>
    </xf>
    <xf numFmtId="0" fontId="24" fillId="0" borderId="0"/>
    <xf numFmtId="0" fontId="8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25" fillId="0" borderId="0"/>
    <xf numFmtId="165" fontId="10" fillId="0" borderId="0" applyFont="0" applyFill="0" applyBorder="0" applyAlignment="0" applyProtection="0"/>
    <xf numFmtId="0" fontId="26" fillId="5" borderId="0" applyNumberFormat="0" applyBorder="0" applyAlignment="0" applyProtection="0"/>
    <xf numFmtId="0" fontId="27" fillId="3" borderId="23" applyNumberFormat="0" applyAlignment="0" applyProtection="0"/>
    <xf numFmtId="0" fontId="28" fillId="4" borderId="23" applyNumberFormat="0" applyAlignment="0" applyProtection="0"/>
    <xf numFmtId="9" fontId="10" fillId="0" borderId="0" applyFill="0" applyBorder="0" applyAlignment="0" applyProtection="0"/>
    <xf numFmtId="167" fontId="10" fillId="0" borderId="0" applyFont="0" applyFill="0" applyBorder="0" applyAlignment="0" applyProtection="0"/>
    <xf numFmtId="0" fontId="7" fillId="0" borderId="0"/>
    <xf numFmtId="0" fontId="12" fillId="0" borderId="0">
      <alignment vertical="center"/>
    </xf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>
      <alignment vertical="top"/>
    </xf>
    <xf numFmtId="0" fontId="2" fillId="0" borderId="0"/>
    <xf numFmtId="0" fontId="2" fillId="0" borderId="0"/>
    <xf numFmtId="0" fontId="2" fillId="0" borderId="0"/>
    <xf numFmtId="17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  <xf numFmtId="0" fontId="34" fillId="0" borderId="0"/>
    <xf numFmtId="17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9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7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 applyNumberFormat="0" applyFill="0" applyBorder="0" applyProtection="0">
      <alignment vertical="top" wrapText="1"/>
    </xf>
    <xf numFmtId="0" fontId="12" fillId="0" borderId="0">
      <alignment vertical="center"/>
    </xf>
    <xf numFmtId="0" fontId="12" fillId="0" borderId="0">
      <alignment vertical="center"/>
    </xf>
    <xf numFmtId="0" fontId="1" fillId="0" borderId="0"/>
    <xf numFmtId="0" fontId="1" fillId="0" borderId="0"/>
    <xf numFmtId="0" fontId="41" fillId="0" borderId="0"/>
    <xf numFmtId="0" fontId="12" fillId="0" borderId="0">
      <alignment vertical="center"/>
    </xf>
    <xf numFmtId="0" fontId="3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9" fontId="10" fillId="0" borderId="0" applyFon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41" fillId="0" borderId="0"/>
    <xf numFmtId="0" fontId="41" fillId="0" borderId="0"/>
    <xf numFmtId="0" fontId="4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5" fillId="0" borderId="0" applyNumberFormat="0" applyFill="0" applyBorder="0" applyProtection="0">
      <alignment horizontal="center" vertical="center"/>
    </xf>
    <xf numFmtId="175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49" fontId="80" fillId="16" borderId="58" applyProtection="0">
      <alignment horizontal="center" vertical="center" wrapText="1"/>
    </xf>
    <xf numFmtId="0" fontId="81" fillId="17" borderId="58" applyProtection="0">
      <alignment horizontal="center" vertical="center" wrapText="1"/>
    </xf>
    <xf numFmtId="4" fontId="30" fillId="18" borderId="58">
      <alignment horizontal="center" vertical="center" wrapText="1"/>
    </xf>
    <xf numFmtId="4" fontId="80" fillId="20" borderId="58" applyProtection="0">
      <alignment horizontal="center" vertical="center" wrapText="1"/>
    </xf>
    <xf numFmtId="0" fontId="10" fillId="0" borderId="0"/>
  </cellStyleXfs>
  <cellXfs count="889">
    <xf numFmtId="0" fontId="0" fillId="0" borderId="0" xfId="0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170" fontId="11" fillId="0" borderId="0" xfId="0" applyNumberFormat="1" applyFont="1"/>
    <xf numFmtId="170" fontId="11" fillId="0" borderId="9" xfId="0" applyNumberFormat="1" applyFont="1" applyBorder="1"/>
    <xf numFmtId="170" fontId="0" fillId="0" borderId="0" xfId="0" applyNumberFormat="1"/>
    <xf numFmtId="2" fontId="0" fillId="0" borderId="0" xfId="0" applyNumberFormat="1"/>
    <xf numFmtId="171" fontId="0" fillId="0" borderId="0" xfId="0" applyNumberFormat="1"/>
    <xf numFmtId="0" fontId="12" fillId="0" borderId="5" xfId="0" applyFont="1" applyBorder="1"/>
    <xf numFmtId="0" fontId="0" fillId="0" borderId="10" xfId="0" applyBorder="1"/>
    <xf numFmtId="0" fontId="12" fillId="0" borderId="0" xfId="0" applyFont="1"/>
    <xf numFmtId="0" fontId="11" fillId="0" borderId="5" xfId="0" applyFont="1" applyBorder="1"/>
    <xf numFmtId="170" fontId="11" fillId="0" borderId="7" xfId="0" applyNumberFormat="1" applyFont="1" applyBorder="1"/>
    <xf numFmtId="10" fontId="11" fillId="0" borderId="7" xfId="0" applyNumberFormat="1" applyFont="1" applyBorder="1"/>
    <xf numFmtId="0" fontId="0" fillId="0" borderId="0" xfId="0" quotePrefix="1" applyAlignment="1">
      <alignment horizontal="center"/>
    </xf>
    <xf numFmtId="49" fontId="12" fillId="0" borderId="7" xfId="0" applyNumberFormat="1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right"/>
    </xf>
    <xf numFmtId="0" fontId="11" fillId="0" borderId="13" xfId="0" applyFont="1" applyBorder="1"/>
    <xf numFmtId="0" fontId="11" fillId="0" borderId="14" xfId="0" applyFont="1" applyBorder="1"/>
    <xf numFmtId="170" fontId="12" fillId="0" borderId="0" xfId="0" applyNumberFormat="1" applyFont="1"/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left"/>
    </xf>
    <xf numFmtId="0" fontId="14" fillId="0" borderId="0" xfId="0" applyFont="1"/>
    <xf numFmtId="0" fontId="17" fillId="0" borderId="0" xfId="0" applyFont="1" applyAlignment="1">
      <alignment horizontal="right"/>
    </xf>
    <xf numFmtId="4" fontId="0" fillId="0" borderId="7" xfId="0" applyNumberFormat="1" applyBorder="1" applyAlignment="1">
      <alignment vertical="center"/>
    </xf>
    <xf numFmtId="10" fontId="0" fillId="0" borderId="7" xfId="0" applyNumberFormat="1" applyBorder="1" applyAlignment="1">
      <alignment vertical="center"/>
    </xf>
    <xf numFmtId="170" fontId="0" fillId="0" borderId="7" xfId="0" applyNumberFormat="1" applyBorder="1"/>
    <xf numFmtId="10" fontId="0" fillId="0" borderId="7" xfId="0" applyNumberFormat="1" applyBorder="1"/>
    <xf numFmtId="0" fontId="11" fillId="0" borderId="10" xfId="0" applyFont="1" applyBorder="1"/>
    <xf numFmtId="14" fontId="19" fillId="0" borderId="0" xfId="0" applyNumberFormat="1" applyFont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12" fillId="0" borderId="0" xfId="4" applyFont="1"/>
    <xf numFmtId="4" fontId="12" fillId="0" borderId="0" xfId="4" applyNumberFormat="1" applyFont="1"/>
    <xf numFmtId="167" fontId="12" fillId="0" borderId="0" xfId="4" applyNumberFormat="1" applyFont="1"/>
    <xf numFmtId="2" fontId="12" fillId="0" borderId="0" xfId="4" applyNumberFormat="1" applyFont="1"/>
    <xf numFmtId="0" fontId="15" fillId="0" borderId="0" xfId="4" applyFont="1" applyAlignment="1">
      <alignment horizontal="left"/>
    </xf>
    <xf numFmtId="0" fontId="12" fillId="0" borderId="0" xfId="4" applyFont="1" applyAlignment="1">
      <alignment horizontal="left"/>
    </xf>
    <xf numFmtId="4" fontId="12" fillId="0" borderId="11" xfId="5" applyNumberFormat="1" applyFont="1" applyFill="1" applyBorder="1"/>
    <xf numFmtId="0" fontId="12" fillId="0" borderId="0" xfId="5" applyNumberFormat="1" applyFont="1" applyFill="1"/>
    <xf numFmtId="0" fontId="12" fillId="0" borderId="2" xfId="4" applyFont="1" applyBorder="1" applyAlignment="1">
      <alignment horizontal="left"/>
    </xf>
    <xf numFmtId="4" fontId="12" fillId="0" borderId="7" xfId="4" applyNumberFormat="1" applyFont="1" applyBorder="1"/>
    <xf numFmtId="0" fontId="15" fillId="0" borderId="2" xfId="4" applyFont="1" applyBorder="1" applyAlignment="1">
      <alignment horizontal="left"/>
    </xf>
    <xf numFmtId="4" fontId="15" fillId="0" borderId="22" xfId="4" applyNumberFormat="1" applyFont="1" applyBorder="1"/>
    <xf numFmtId="0" fontId="15" fillId="0" borderId="0" xfId="4" applyFont="1"/>
    <xf numFmtId="9" fontId="12" fillId="0" borderId="22" xfId="4" applyNumberFormat="1" applyFont="1" applyBorder="1" applyAlignment="1">
      <alignment horizontal="center" vertical="center"/>
    </xf>
    <xf numFmtId="10" fontId="12" fillId="0" borderId="22" xfId="4" applyNumberFormat="1" applyFont="1" applyBorder="1"/>
    <xf numFmtId="171" fontId="12" fillId="0" borderId="0" xfId="4" applyNumberFormat="1" applyFont="1"/>
    <xf numFmtId="166" fontId="12" fillId="0" borderId="0" xfId="4" applyNumberFormat="1" applyFont="1"/>
    <xf numFmtId="4" fontId="22" fillId="2" borderId="0" xfId="4" applyNumberFormat="1" applyFont="1" applyFill="1"/>
    <xf numFmtId="0" fontId="0" fillId="0" borderId="0" xfId="0" applyAlignment="1">
      <alignment vertical="center"/>
    </xf>
    <xf numFmtId="4" fontId="12" fillId="0" borderId="7" xfId="5" applyNumberFormat="1" applyFont="1" applyFill="1" applyBorder="1"/>
    <xf numFmtId="2" fontId="29" fillId="0" borderId="7" xfId="4" applyNumberFormat="1" applyFont="1" applyBorder="1" applyAlignment="1">
      <alignment vertical="center"/>
    </xf>
    <xf numFmtId="4" fontId="29" fillId="0" borderId="7" xfId="5" applyNumberFormat="1" applyFont="1" applyFill="1" applyBorder="1" applyAlignment="1">
      <alignment vertical="center"/>
    </xf>
    <xf numFmtId="167" fontId="29" fillId="0" borderId="7" xfId="5" applyFont="1" applyFill="1" applyBorder="1" applyAlignment="1">
      <alignment vertical="center"/>
    </xf>
    <xf numFmtId="10" fontId="29" fillId="0" borderId="7" xfId="4" applyNumberFormat="1" applyFont="1" applyBorder="1" applyAlignment="1">
      <alignment vertical="center"/>
    </xf>
    <xf numFmtId="0" fontId="15" fillId="0" borderId="7" xfId="4" applyFont="1" applyBorder="1" applyAlignment="1">
      <alignment horizontal="center" vertical="center"/>
    </xf>
    <xf numFmtId="0" fontId="12" fillId="0" borderId="5" xfId="4" applyFont="1" applyBorder="1" applyAlignment="1">
      <alignment horizontal="left" vertical="center" wrapText="1"/>
    </xf>
    <xf numFmtId="0" fontId="21" fillId="0" borderId="0" xfId="4" applyFont="1" applyAlignment="1">
      <alignment horizontal="center"/>
    </xf>
    <xf numFmtId="0" fontId="21" fillId="0" borderId="8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/>
    </xf>
    <xf numFmtId="4" fontId="12" fillId="0" borderId="7" xfId="4" applyNumberFormat="1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 wrapText="1"/>
    </xf>
    <xf numFmtId="4" fontId="15" fillId="0" borderId="7" xfId="4" applyNumberFormat="1" applyFont="1" applyBorder="1" applyAlignment="1">
      <alignment horizontal="center" vertical="center" wrapText="1"/>
    </xf>
    <xf numFmtId="10" fontId="12" fillId="0" borderId="7" xfId="4" applyNumberFormat="1" applyFont="1" applyBorder="1" applyAlignment="1">
      <alignment horizontal="center" vertical="center"/>
    </xf>
    <xf numFmtId="0" fontId="30" fillId="0" borderId="0" xfId="0" applyFont="1"/>
    <xf numFmtId="0" fontId="32" fillId="0" borderId="7" xfId="0" applyFont="1" applyBorder="1" applyAlignment="1">
      <alignment horizontal="center"/>
    </xf>
    <xf numFmtId="0" fontId="32" fillId="0" borderId="7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6" xfId="0" applyFont="1" applyBorder="1" applyAlignment="1">
      <alignment vertical="center" wrapText="1"/>
    </xf>
    <xf numFmtId="10" fontId="31" fillId="0" borderId="5" xfId="0" applyNumberFormat="1" applyFont="1" applyBorder="1" applyAlignment="1">
      <alignment horizontal="center" vertical="center"/>
    </xf>
    <xf numFmtId="4" fontId="31" fillId="0" borderId="5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vertical="center" wrapText="1"/>
    </xf>
    <xf numFmtId="4" fontId="31" fillId="0" borderId="1" xfId="0" applyNumberFormat="1" applyFont="1" applyBorder="1" applyAlignment="1">
      <alignment horizontal="center" vertical="center"/>
    </xf>
    <xf numFmtId="4" fontId="31" fillId="0" borderId="7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0" fontId="31" fillId="0" borderId="0" xfId="0" applyFont="1"/>
    <xf numFmtId="0" fontId="32" fillId="0" borderId="3" xfId="0" applyFont="1" applyBorder="1" applyAlignment="1">
      <alignment vertical="center"/>
    </xf>
    <xf numFmtId="4" fontId="32" fillId="0" borderId="7" xfId="0" applyNumberFormat="1" applyFont="1" applyBorder="1" applyAlignment="1">
      <alignment horizontal="center"/>
    </xf>
    <xf numFmtId="9" fontId="32" fillId="0" borderId="0" xfId="0" applyNumberFormat="1" applyFont="1"/>
    <xf numFmtId="0" fontId="32" fillId="0" borderId="0" xfId="0" applyFont="1"/>
    <xf numFmtId="0" fontId="32" fillId="0" borderId="0" xfId="0" applyFont="1" applyAlignment="1">
      <alignment vertical="center"/>
    </xf>
    <xf numFmtId="4" fontId="32" fillId="0" borderId="0" xfId="0" applyNumberFormat="1" applyFont="1" applyAlignment="1">
      <alignment horizontal="center"/>
    </xf>
    <xf numFmtId="10" fontId="31" fillId="0" borderId="7" xfId="0" applyNumberFormat="1" applyFont="1" applyBorder="1" applyAlignment="1">
      <alignment horizontal="center" vertical="center"/>
    </xf>
    <xf numFmtId="10" fontId="32" fillId="0" borderId="5" xfId="0" applyNumberFormat="1" applyFont="1" applyBorder="1" applyAlignment="1">
      <alignment horizontal="right" vertical="center"/>
    </xf>
    <xf numFmtId="10" fontId="32" fillId="0" borderId="7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49" fontId="12" fillId="0" borderId="7" xfId="4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169" fontId="32" fillId="0" borderId="5" xfId="0" applyNumberFormat="1" applyFont="1" applyBorder="1" applyAlignment="1">
      <alignment horizontal="center" vertical="center"/>
    </xf>
    <xf numFmtId="10" fontId="12" fillId="0" borderId="0" xfId="4" applyNumberFormat="1" applyFont="1" applyAlignment="1">
      <alignment horizontal="center" vertical="center"/>
    </xf>
    <xf numFmtId="0" fontId="47" fillId="6" borderId="0" xfId="11" applyFont="1" applyFill="1" applyAlignment="1">
      <alignment vertical="center"/>
    </xf>
    <xf numFmtId="4" fontId="47" fillId="6" borderId="0" xfId="11" applyNumberFormat="1" applyFont="1" applyFill="1" applyAlignment="1">
      <alignment vertical="center"/>
    </xf>
    <xf numFmtId="4" fontId="48" fillId="6" borderId="0" xfId="27" applyNumberFormat="1" applyFont="1" applyFill="1" applyBorder="1" applyAlignment="1">
      <alignment horizontal="right" vertical="center"/>
    </xf>
    <xf numFmtId="4" fontId="47" fillId="6" borderId="0" xfId="27" applyNumberFormat="1" applyFont="1" applyFill="1" applyBorder="1" applyAlignment="1">
      <alignment horizontal="right" vertical="center"/>
    </xf>
    <xf numFmtId="10" fontId="47" fillId="6" borderId="0" xfId="15" applyNumberFormat="1" applyFont="1" applyFill="1" applyBorder="1" applyAlignment="1">
      <alignment horizontal="right" vertical="center"/>
    </xf>
    <xf numFmtId="0" fontId="49" fillId="6" borderId="0" xfId="11" applyFont="1" applyFill="1" applyAlignment="1">
      <alignment vertical="center"/>
    </xf>
    <xf numFmtId="0" fontId="49" fillId="6" borderId="0" xfId="11" applyFont="1" applyFill="1" applyAlignment="1">
      <alignment horizontal="left" vertical="center"/>
    </xf>
    <xf numFmtId="10" fontId="49" fillId="6" borderId="0" xfId="11" applyNumberFormat="1" applyFont="1" applyFill="1" applyAlignment="1">
      <alignment vertical="center"/>
    </xf>
    <xf numFmtId="0" fontId="49" fillId="6" borderId="0" xfId="11" applyFont="1" applyFill="1" applyAlignment="1">
      <alignment vertical="center" wrapText="1"/>
    </xf>
    <xf numFmtId="0" fontId="50" fillId="6" borderId="0" xfId="11" applyFont="1" applyFill="1" applyAlignment="1">
      <alignment horizontal="left" vertical="center"/>
    </xf>
    <xf numFmtId="4" fontId="50" fillId="6" borderId="0" xfId="11" applyNumberFormat="1" applyFont="1" applyFill="1" applyAlignment="1">
      <alignment horizontal="left" vertical="center"/>
    </xf>
    <xf numFmtId="4" fontId="50" fillId="6" borderId="0" xfId="11" applyNumberFormat="1" applyFont="1" applyFill="1" applyAlignment="1">
      <alignment vertical="center"/>
    </xf>
    <xf numFmtId="0" fontId="51" fillId="6" borderId="0" xfId="11" applyFont="1" applyFill="1" applyAlignment="1">
      <alignment horizontal="left" vertical="center"/>
    </xf>
    <xf numFmtId="4" fontId="51" fillId="6" borderId="0" xfId="11" applyNumberFormat="1" applyFont="1" applyFill="1" applyAlignment="1">
      <alignment horizontal="left" vertical="center"/>
    </xf>
    <xf numFmtId="4" fontId="51" fillId="6" borderId="0" xfId="11" applyNumberFormat="1" applyFont="1" applyFill="1" applyAlignment="1">
      <alignment vertical="center"/>
    </xf>
    <xf numFmtId="0" fontId="52" fillId="6" borderId="0" xfId="11" applyFont="1" applyFill="1" applyAlignment="1">
      <alignment horizontal="left" vertical="center"/>
    </xf>
    <xf numFmtId="4" fontId="52" fillId="6" borderId="0" xfId="11" applyNumberFormat="1" applyFont="1" applyFill="1" applyAlignment="1">
      <alignment horizontal="left" vertical="center"/>
    </xf>
    <xf numFmtId="4" fontId="52" fillId="6" borderId="0" xfId="11" applyNumberFormat="1" applyFont="1" applyFill="1" applyAlignment="1">
      <alignment vertical="center"/>
    </xf>
    <xf numFmtId="0" fontId="53" fillId="6" borderId="0" xfId="11" applyFont="1" applyFill="1" applyAlignment="1">
      <alignment horizontal="left" vertical="center"/>
    </xf>
    <xf numFmtId="4" fontId="53" fillId="6" borderId="0" xfId="11" applyNumberFormat="1" applyFont="1" applyFill="1" applyAlignment="1">
      <alignment horizontal="left" vertical="center"/>
    </xf>
    <xf numFmtId="4" fontId="49" fillId="6" borderId="0" xfId="11" applyNumberFormat="1" applyFont="1" applyFill="1" applyAlignment="1">
      <alignment horizontal="left" vertical="center"/>
    </xf>
    <xf numFmtId="4" fontId="49" fillId="6" borderId="0" xfId="11" applyNumberFormat="1" applyFont="1" applyFill="1" applyAlignment="1">
      <alignment vertical="center"/>
    </xf>
    <xf numFmtId="0" fontId="54" fillId="6" borderId="0" xfId="11" applyFont="1" applyFill="1" applyAlignment="1">
      <alignment horizontal="left" vertical="center"/>
    </xf>
    <xf numFmtId="4" fontId="54" fillId="6" borderId="0" xfId="11" applyNumberFormat="1" applyFont="1" applyFill="1" applyAlignment="1">
      <alignment horizontal="left" vertical="center"/>
    </xf>
    <xf numFmtId="0" fontId="49" fillId="6" borderId="0" xfId="11" applyFont="1" applyFill="1" applyAlignment="1">
      <alignment horizontal="center" vertical="center"/>
    </xf>
    <xf numFmtId="2" fontId="49" fillId="6" borderId="0" xfId="11" applyNumberFormat="1" applyFont="1" applyFill="1" applyAlignment="1">
      <alignment vertical="center"/>
    </xf>
    <xf numFmtId="10" fontId="49" fillId="6" borderId="0" xfId="15" applyNumberFormat="1" applyFont="1" applyFill="1" applyBorder="1" applyAlignment="1">
      <alignment vertical="center"/>
    </xf>
    <xf numFmtId="167" fontId="49" fillId="6" borderId="0" xfId="11" applyNumberFormat="1" applyFont="1" applyFill="1" applyAlignment="1">
      <alignment vertical="center"/>
    </xf>
    <xf numFmtId="167" fontId="49" fillId="6" borderId="0" xfId="11" applyNumberFormat="1" applyFont="1" applyFill="1" applyAlignment="1">
      <alignment horizontal="center" vertical="center"/>
    </xf>
    <xf numFmtId="8" fontId="49" fillId="6" borderId="0" xfId="11" applyNumberFormat="1" applyFont="1" applyFill="1" applyAlignment="1">
      <alignment vertical="center"/>
    </xf>
    <xf numFmtId="0" fontId="49" fillId="6" borderId="0" xfId="11" applyFont="1" applyFill="1" applyAlignment="1">
      <alignment horizontal="right" vertical="center"/>
    </xf>
    <xf numFmtId="0" fontId="56" fillId="6" borderId="0" xfId="11" applyFont="1" applyFill="1" applyAlignment="1">
      <alignment horizontal="left" vertical="center"/>
    </xf>
    <xf numFmtId="4" fontId="56" fillId="6" borderId="0" xfId="11" applyNumberFormat="1" applyFont="1" applyFill="1" applyAlignment="1">
      <alignment horizontal="left" vertical="center"/>
    </xf>
    <xf numFmtId="4" fontId="56" fillId="6" borderId="0" xfId="11" applyNumberFormat="1" applyFont="1" applyFill="1" applyAlignment="1">
      <alignment vertical="center"/>
    </xf>
    <xf numFmtId="2" fontId="49" fillId="6" borderId="0" xfId="11" applyNumberFormat="1" applyFont="1" applyFill="1" applyAlignment="1">
      <alignment horizontal="right" vertical="center"/>
    </xf>
    <xf numFmtId="10" fontId="49" fillId="6" borderId="0" xfId="15" applyNumberFormat="1" applyFont="1" applyFill="1" applyBorder="1" applyAlignment="1">
      <alignment horizontal="right" vertical="center"/>
    </xf>
    <xf numFmtId="4" fontId="49" fillId="6" borderId="0" xfId="11" applyNumberFormat="1" applyFont="1" applyFill="1" applyAlignment="1">
      <alignment horizontal="right" vertical="center"/>
    </xf>
    <xf numFmtId="4" fontId="61" fillId="6" borderId="0" xfId="11" applyNumberFormat="1" applyFont="1" applyFill="1" applyAlignment="1">
      <alignment horizontal="left" vertical="center"/>
    </xf>
    <xf numFmtId="4" fontId="61" fillId="6" borderId="0" xfId="11" applyNumberFormat="1" applyFont="1" applyFill="1" applyAlignment="1">
      <alignment vertical="center"/>
    </xf>
    <xf numFmtId="0" fontId="61" fillId="6" borderId="0" xfId="11" applyFont="1" applyFill="1" applyAlignment="1">
      <alignment horizontal="left" vertical="center"/>
    </xf>
    <xf numFmtId="0" fontId="62" fillId="6" borderId="0" xfId="11" applyFont="1" applyFill="1" applyAlignment="1">
      <alignment horizontal="left" vertical="center"/>
    </xf>
    <xf numFmtId="4" fontId="62" fillId="6" borderId="0" xfId="11" applyNumberFormat="1" applyFont="1" applyFill="1" applyAlignment="1">
      <alignment horizontal="left" vertical="center"/>
    </xf>
    <xf numFmtId="4" fontId="62" fillId="6" borderId="0" xfId="11" applyNumberFormat="1" applyFont="1" applyFill="1" applyAlignment="1">
      <alignment vertical="center"/>
    </xf>
    <xf numFmtId="0" fontId="58" fillId="6" borderId="0" xfId="11" applyFont="1" applyFill="1" applyAlignment="1">
      <alignment vertical="center"/>
    </xf>
    <xf numFmtId="181" fontId="49" fillId="6" borderId="25" xfId="0" applyNumberFormat="1" applyFont="1" applyFill="1" applyBorder="1" applyAlignment="1">
      <alignment vertical="center"/>
    </xf>
    <xf numFmtId="181" fontId="49" fillId="9" borderId="26" xfId="0" applyNumberFormat="1" applyFont="1" applyFill="1" applyBorder="1" applyAlignment="1">
      <alignment vertical="center"/>
    </xf>
    <xf numFmtId="181" fontId="49" fillId="9" borderId="27" xfId="0" applyNumberFormat="1" applyFont="1" applyFill="1" applyBorder="1" applyAlignment="1">
      <alignment vertical="center"/>
    </xf>
    <xf numFmtId="10" fontId="49" fillId="6" borderId="27" xfId="11" applyNumberFormat="1" applyFont="1" applyFill="1" applyBorder="1" applyAlignment="1">
      <alignment horizontal="right" vertical="center"/>
    </xf>
    <xf numFmtId="181" fontId="49" fillId="9" borderId="28" xfId="0" applyNumberFormat="1" applyFont="1" applyFill="1" applyBorder="1" applyAlignment="1">
      <alignment vertical="center"/>
    </xf>
    <xf numFmtId="10" fontId="49" fillId="6" borderId="28" xfId="11" applyNumberFormat="1" applyFont="1" applyFill="1" applyBorder="1" applyAlignment="1">
      <alignment horizontal="right" vertical="center"/>
    </xf>
    <xf numFmtId="4" fontId="49" fillId="6" borderId="26" xfId="11" applyNumberFormat="1" applyFont="1" applyFill="1" applyBorder="1" applyAlignment="1">
      <alignment horizontal="right" vertical="center"/>
    </xf>
    <xf numFmtId="4" fontId="49" fillId="6" borderId="27" xfId="11" applyNumberFormat="1" applyFont="1" applyFill="1" applyBorder="1" applyAlignment="1">
      <alignment horizontal="right" vertical="center"/>
    </xf>
    <xf numFmtId="4" fontId="49" fillId="6" borderId="28" xfId="11" applyNumberFormat="1" applyFont="1" applyFill="1" applyBorder="1" applyAlignment="1">
      <alignment horizontal="right" vertical="center"/>
    </xf>
    <xf numFmtId="10" fontId="47" fillId="6" borderId="27" xfId="11" applyNumberFormat="1" applyFont="1" applyFill="1" applyBorder="1" applyAlignment="1">
      <alignment horizontal="right" vertical="center"/>
    </xf>
    <xf numFmtId="4" fontId="47" fillId="6" borderId="27" xfId="11" applyNumberFormat="1" applyFont="1" applyFill="1" applyBorder="1" applyAlignment="1">
      <alignment horizontal="right" vertical="center"/>
    </xf>
    <xf numFmtId="0" fontId="58" fillId="6" borderId="0" xfId="11" applyFont="1" applyFill="1" applyAlignment="1">
      <alignment vertical="center" wrapText="1"/>
    </xf>
    <xf numFmtId="0" fontId="57" fillId="6" borderId="0" xfId="11" applyFont="1" applyFill="1" applyAlignment="1">
      <alignment horizontal="left" vertical="center"/>
    </xf>
    <xf numFmtId="0" fontId="49" fillId="6" borderId="4" xfId="11" applyFont="1" applyFill="1" applyBorder="1" applyAlignment="1">
      <alignment vertical="center" wrapText="1"/>
    </xf>
    <xf numFmtId="0" fontId="49" fillId="6" borderId="4" xfId="11" applyFont="1" applyFill="1" applyBorder="1" applyAlignment="1">
      <alignment vertical="center"/>
    </xf>
    <xf numFmtId="0" fontId="49" fillId="6" borderId="0" xfId="0" applyFont="1" applyFill="1" applyAlignment="1">
      <alignment vertical="center"/>
    </xf>
    <xf numFmtId="4" fontId="49" fillId="6" borderId="0" xfId="11" applyNumberFormat="1" applyFont="1" applyFill="1" applyAlignment="1">
      <alignment vertical="center" wrapText="1"/>
    </xf>
    <xf numFmtId="10" fontId="26" fillId="6" borderId="0" xfId="0" applyNumberFormat="1" applyFont="1" applyFill="1" applyAlignment="1">
      <alignment horizontal="right" vertical="center"/>
    </xf>
    <xf numFmtId="168" fontId="26" fillId="6" borderId="28" xfId="0" applyNumberFormat="1" applyFont="1" applyFill="1" applyBorder="1" applyAlignment="1">
      <alignment horizontal="center" vertical="center"/>
    </xf>
    <xf numFmtId="180" fontId="49" fillId="6" borderId="28" xfId="11" quotePrefix="1" applyNumberFormat="1" applyFont="1" applyFill="1" applyBorder="1" applyAlignment="1">
      <alignment horizontal="center" vertical="center" wrapText="1"/>
    </xf>
    <xf numFmtId="4" fontId="26" fillId="6" borderId="28" xfId="0" applyNumberFormat="1" applyFont="1" applyFill="1" applyBorder="1" applyAlignment="1">
      <alignment horizontal="right" vertical="center"/>
    </xf>
    <xf numFmtId="10" fontId="26" fillId="6" borderId="28" xfId="0" applyNumberFormat="1" applyFont="1" applyFill="1" applyBorder="1" applyAlignment="1">
      <alignment horizontal="right" vertical="center"/>
    </xf>
    <xf numFmtId="10" fontId="26" fillId="6" borderId="28" xfId="0" applyNumberFormat="1" applyFont="1" applyFill="1" applyBorder="1" applyAlignment="1">
      <alignment horizontal="center" vertical="center"/>
    </xf>
    <xf numFmtId="10" fontId="49" fillId="6" borderId="28" xfId="0" applyNumberFormat="1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49" fontId="63" fillId="6" borderId="7" xfId="0" applyNumberFormat="1" applyFont="1" applyFill="1" applyBorder="1" applyAlignment="1">
      <alignment horizontal="center" vertical="center"/>
    </xf>
    <xf numFmtId="168" fontId="63" fillId="6" borderId="7" xfId="0" applyNumberFormat="1" applyFont="1" applyFill="1" applyBorder="1" applyAlignment="1">
      <alignment horizontal="center" vertical="center"/>
    </xf>
    <xf numFmtId="174" fontId="63" fillId="6" borderId="7" xfId="0" applyNumberFormat="1" applyFont="1" applyFill="1" applyBorder="1" applyAlignment="1">
      <alignment horizontal="right" vertical="center"/>
    </xf>
    <xf numFmtId="172" fontId="63" fillId="6" borderId="7" xfId="0" applyNumberFormat="1" applyFont="1" applyFill="1" applyBorder="1" applyAlignment="1">
      <alignment horizontal="right" vertical="center"/>
    </xf>
    <xf numFmtId="10" fontId="63" fillId="6" borderId="7" xfId="0" applyNumberFormat="1" applyFont="1" applyFill="1" applyBorder="1" applyAlignment="1">
      <alignment horizontal="right" vertical="center"/>
    </xf>
    <xf numFmtId="10" fontId="48" fillId="6" borderId="7" xfId="0" applyNumberFormat="1" applyFont="1" applyFill="1" applyBorder="1" applyAlignment="1">
      <alignment horizontal="center" vertical="center"/>
    </xf>
    <xf numFmtId="0" fontId="63" fillId="6" borderId="7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vertical="center"/>
    </xf>
    <xf numFmtId="0" fontId="26" fillId="6" borderId="0" xfId="0" applyFont="1" applyFill="1" applyAlignment="1">
      <alignment horizontal="center" vertical="center"/>
    </xf>
    <xf numFmtId="0" fontId="60" fillId="6" borderId="0" xfId="0" applyFont="1" applyFill="1" applyAlignment="1">
      <alignment vertical="center"/>
    </xf>
    <xf numFmtId="10" fontId="49" fillId="6" borderId="4" xfId="11" applyNumberFormat="1" applyFont="1" applyFill="1" applyBorder="1" applyAlignment="1">
      <alignment vertical="center"/>
    </xf>
    <xf numFmtId="180" fontId="49" fillId="6" borderId="7" xfId="11" quotePrefix="1" applyNumberFormat="1" applyFont="1" applyFill="1" applyBorder="1" applyAlignment="1">
      <alignment horizontal="center" vertical="center" wrapText="1"/>
    </xf>
    <xf numFmtId="0" fontId="57" fillId="6" borderId="5" xfId="0" applyFont="1" applyFill="1" applyBorder="1" applyAlignment="1">
      <alignment horizontal="left" vertical="center"/>
    </xf>
    <xf numFmtId="0" fontId="57" fillId="6" borderId="7" xfId="0" applyFont="1" applyFill="1" applyBorder="1" applyAlignment="1">
      <alignment horizontal="center" vertical="center"/>
    </xf>
    <xf numFmtId="180" fontId="57" fillId="6" borderId="7" xfId="11" quotePrefix="1" applyNumberFormat="1" applyFont="1" applyFill="1" applyBorder="1" applyAlignment="1">
      <alignment horizontal="center" vertical="center" wrapText="1"/>
    </xf>
    <xf numFmtId="0" fontId="49" fillId="6" borderId="0" xfId="4" applyFont="1" applyFill="1" applyAlignment="1">
      <alignment vertical="center"/>
    </xf>
    <xf numFmtId="0" fontId="57" fillId="6" borderId="0" xfId="4" applyFont="1" applyFill="1" applyAlignment="1">
      <alignment vertical="center"/>
    </xf>
    <xf numFmtId="0" fontId="57" fillId="6" borderId="0" xfId="4" applyFont="1" applyFill="1" applyAlignment="1">
      <alignment horizontal="left" vertical="center"/>
    </xf>
    <xf numFmtId="10" fontId="49" fillId="6" borderId="0" xfId="4" applyNumberFormat="1" applyFont="1" applyFill="1" applyAlignment="1">
      <alignment vertical="center"/>
    </xf>
    <xf numFmtId="0" fontId="59" fillId="6" borderId="0" xfId="11" applyFont="1" applyFill="1" applyAlignment="1">
      <alignment vertical="center" wrapText="1"/>
    </xf>
    <xf numFmtId="0" fontId="59" fillId="6" borderId="0" xfId="11" applyFont="1" applyFill="1" applyAlignment="1">
      <alignment vertical="center"/>
    </xf>
    <xf numFmtId="0" fontId="57" fillId="6" borderId="0" xfId="11" applyFont="1" applyFill="1" applyAlignment="1">
      <alignment vertical="center" wrapText="1"/>
    </xf>
    <xf numFmtId="43" fontId="49" fillId="6" borderId="0" xfId="430" applyFont="1" applyFill="1" applyBorder="1" applyAlignment="1">
      <alignment horizontal="right" vertical="center"/>
    </xf>
    <xf numFmtId="4" fontId="65" fillId="6" borderId="0" xfId="11" applyNumberFormat="1" applyFont="1" applyFill="1" applyAlignment="1">
      <alignment vertical="center"/>
    </xf>
    <xf numFmtId="0" fontId="65" fillId="6" borderId="0" xfId="11" applyFont="1" applyFill="1" applyAlignment="1">
      <alignment vertical="center"/>
    </xf>
    <xf numFmtId="10" fontId="65" fillId="6" borderId="0" xfId="11" applyNumberFormat="1" applyFont="1" applyFill="1" applyAlignment="1">
      <alignment vertical="center"/>
    </xf>
    <xf numFmtId="43" fontId="57" fillId="6" borderId="0" xfId="430" applyFont="1" applyFill="1" applyBorder="1" applyAlignment="1">
      <alignment horizontal="right" vertical="center"/>
    </xf>
    <xf numFmtId="10" fontId="49" fillId="6" borderId="0" xfId="430" applyNumberFormat="1" applyFont="1" applyFill="1" applyBorder="1" applyAlignment="1">
      <alignment horizontal="right" vertical="center"/>
    </xf>
    <xf numFmtId="43" fontId="49" fillId="6" borderId="0" xfId="11" applyNumberFormat="1" applyFont="1" applyFill="1" applyAlignment="1">
      <alignment vertical="center"/>
    </xf>
    <xf numFmtId="0" fontId="49" fillId="6" borderId="7" xfId="0" applyFont="1" applyFill="1" applyBorder="1" applyAlignment="1">
      <alignment horizontal="center" vertical="center"/>
    </xf>
    <xf numFmtId="43" fontId="49" fillId="6" borderId="7" xfId="430" applyFont="1" applyFill="1" applyBorder="1" applyAlignment="1">
      <alignment horizontal="right" vertical="center"/>
    </xf>
    <xf numFmtId="10" fontId="49" fillId="6" borderId="7" xfId="430" applyNumberFormat="1" applyFont="1" applyFill="1" applyBorder="1" applyAlignment="1">
      <alignment horizontal="right" vertical="center"/>
    </xf>
    <xf numFmtId="43" fontId="57" fillId="10" borderId="7" xfId="430" applyFont="1" applyFill="1" applyBorder="1" applyAlignment="1">
      <alignment horizontal="right" vertical="center"/>
    </xf>
    <xf numFmtId="43" fontId="57" fillId="6" borderId="7" xfId="430" applyFont="1" applyFill="1" applyBorder="1" applyAlignment="1">
      <alignment horizontal="right" vertical="center"/>
    </xf>
    <xf numFmtId="49" fontId="57" fillId="10" borderId="7" xfId="0" applyNumberFormat="1" applyFont="1" applyFill="1" applyBorder="1" applyAlignment="1">
      <alignment horizontal="center" vertical="center"/>
    </xf>
    <xf numFmtId="0" fontId="57" fillId="10" borderId="7" xfId="0" applyFont="1" applyFill="1" applyBorder="1" applyAlignment="1">
      <alignment horizontal="center" vertical="center"/>
    </xf>
    <xf numFmtId="0" fontId="49" fillId="6" borderId="27" xfId="0" applyFont="1" applyFill="1" applyBorder="1" applyAlignment="1">
      <alignment horizontal="center" vertical="center"/>
    </xf>
    <xf numFmtId="43" fontId="49" fillId="6" borderId="27" xfId="430" applyFont="1" applyFill="1" applyBorder="1" applyAlignment="1">
      <alignment horizontal="right" vertical="center"/>
    </xf>
    <xf numFmtId="0" fontId="49" fillId="6" borderId="28" xfId="0" applyFont="1" applyFill="1" applyBorder="1" applyAlignment="1">
      <alignment horizontal="center" vertical="center"/>
    </xf>
    <xf numFmtId="0" fontId="49" fillId="6" borderId="30" xfId="0" applyFont="1" applyFill="1" applyBorder="1" applyAlignment="1">
      <alignment horizontal="left" vertical="center"/>
    </xf>
    <xf numFmtId="0" fontId="49" fillId="6" borderId="31" xfId="0" applyFont="1" applyFill="1" applyBorder="1" applyAlignment="1">
      <alignment horizontal="left" vertical="center"/>
    </xf>
    <xf numFmtId="0" fontId="49" fillId="6" borderId="33" xfId="0" applyFont="1" applyFill="1" applyBorder="1" applyAlignment="1">
      <alignment horizontal="center" vertical="center"/>
    </xf>
    <xf numFmtId="0" fontId="49" fillId="6" borderId="34" xfId="0" applyFont="1" applyFill="1" applyBorder="1" applyAlignment="1">
      <alignment horizontal="center" vertical="center"/>
    </xf>
    <xf numFmtId="0" fontId="57" fillId="10" borderId="29" xfId="0" applyFont="1" applyFill="1" applyBorder="1" applyAlignment="1">
      <alignment horizontal="left" vertical="center"/>
    </xf>
    <xf numFmtId="0" fontId="57" fillId="10" borderId="32" xfId="0" applyFont="1" applyFill="1" applyBorder="1" applyAlignment="1">
      <alignment horizontal="center" vertical="center"/>
    </xf>
    <xf numFmtId="10" fontId="49" fillId="6" borderId="33" xfId="0" applyNumberFormat="1" applyFont="1" applyFill="1" applyBorder="1" applyAlignment="1">
      <alignment horizontal="center" vertical="center"/>
    </xf>
    <xf numFmtId="169" fontId="49" fillId="6" borderId="33" xfId="0" applyNumberFormat="1" applyFont="1" applyFill="1" applyBorder="1" applyAlignment="1">
      <alignment horizontal="center" vertical="center"/>
    </xf>
    <xf numFmtId="0" fontId="57" fillId="6" borderId="30" xfId="0" applyFont="1" applyFill="1" applyBorder="1" applyAlignment="1">
      <alignment horizontal="left" vertical="center"/>
    </xf>
    <xf numFmtId="0" fontId="57" fillId="6" borderId="33" xfId="0" applyFont="1" applyFill="1" applyBorder="1" applyAlignment="1">
      <alignment horizontal="center" vertical="center"/>
    </xf>
    <xf numFmtId="0" fontId="57" fillId="10" borderId="30" xfId="0" applyFont="1" applyFill="1" applyBorder="1" applyAlignment="1">
      <alignment vertical="center"/>
    </xf>
    <xf numFmtId="0" fontId="57" fillId="10" borderId="33" xfId="0" applyFont="1" applyFill="1" applyBorder="1" applyAlignment="1">
      <alignment horizontal="center" vertical="center"/>
    </xf>
    <xf numFmtId="0" fontId="49" fillId="6" borderId="31" xfId="0" applyFont="1" applyFill="1" applyBorder="1" applyAlignment="1">
      <alignment vertical="center"/>
    </xf>
    <xf numFmtId="0" fontId="55" fillId="6" borderId="0" xfId="11" applyFont="1" applyFill="1" applyAlignment="1">
      <alignment vertical="center" wrapText="1"/>
    </xf>
    <xf numFmtId="7" fontId="26" fillId="6" borderId="0" xfId="0" applyNumberFormat="1" applyFont="1" applyFill="1" applyAlignment="1">
      <alignment horizontal="center" vertical="center"/>
    </xf>
    <xf numFmtId="49" fontId="26" fillId="6" borderId="0" xfId="0" applyNumberFormat="1" applyFont="1" applyFill="1" applyAlignment="1">
      <alignment horizontal="left" vertical="center"/>
    </xf>
    <xf numFmtId="49" fontId="64" fillId="6" borderId="0" xfId="0" applyNumberFormat="1" applyFont="1" applyFill="1" applyAlignment="1">
      <alignment horizontal="left" vertical="center"/>
    </xf>
    <xf numFmtId="164" fontId="26" fillId="6" borderId="0" xfId="0" applyNumberFormat="1" applyFont="1" applyFill="1" applyAlignment="1">
      <alignment horizontal="right" vertical="center"/>
    </xf>
    <xf numFmtId="164" fontId="26" fillId="6" borderId="0" xfId="0" applyNumberFormat="1" applyFont="1" applyFill="1" applyAlignment="1">
      <alignment horizontal="center" vertical="center"/>
    </xf>
    <xf numFmtId="172" fontId="26" fillId="6" borderId="0" xfId="0" applyNumberFormat="1" applyFont="1" applyFill="1" applyAlignment="1">
      <alignment horizontal="center" vertical="center"/>
    </xf>
    <xf numFmtId="7" fontId="47" fillId="6" borderId="0" xfId="11" applyNumberFormat="1" applyFont="1" applyFill="1" applyAlignment="1">
      <alignment vertical="center"/>
    </xf>
    <xf numFmtId="10" fontId="47" fillId="6" borderId="0" xfId="11" applyNumberFormat="1" applyFont="1" applyFill="1" applyAlignment="1">
      <alignment vertical="center"/>
    </xf>
    <xf numFmtId="0" fontId="57" fillId="6" borderId="0" xfId="11" applyFont="1" applyFill="1" applyAlignment="1">
      <alignment horizontal="right" vertical="center"/>
    </xf>
    <xf numFmtId="174" fontId="57" fillId="7" borderId="0" xfId="11" applyNumberFormat="1" applyFont="1" applyFill="1" applyAlignment="1">
      <alignment horizontal="right" vertical="center"/>
    </xf>
    <xf numFmtId="17" fontId="49" fillId="6" borderId="28" xfId="11" applyNumberFormat="1" applyFont="1" applyFill="1" applyBorder="1" applyAlignment="1">
      <alignment horizontal="center" vertical="center" wrapText="1"/>
    </xf>
    <xf numFmtId="43" fontId="26" fillId="6" borderId="28" xfId="0" applyNumberFormat="1" applyFont="1" applyFill="1" applyBorder="1" applyAlignment="1">
      <alignment horizontal="right" vertical="center"/>
    </xf>
    <xf numFmtId="43" fontId="66" fillId="6" borderId="26" xfId="0" applyNumberFormat="1" applyFont="1" applyFill="1" applyBorder="1" applyAlignment="1">
      <alignment horizontal="right" vertical="center"/>
    </xf>
    <xf numFmtId="43" fontId="26" fillId="6" borderId="27" xfId="0" applyNumberFormat="1" applyFont="1" applyFill="1" applyBorder="1" applyAlignment="1">
      <alignment horizontal="right" vertical="center"/>
    </xf>
    <xf numFmtId="43" fontId="66" fillId="6" borderId="27" xfId="0" applyNumberFormat="1" applyFont="1" applyFill="1" applyBorder="1" applyAlignment="1">
      <alignment horizontal="right" vertical="center"/>
    </xf>
    <xf numFmtId="0" fontId="50" fillId="6" borderId="0" xfId="11" applyFont="1" applyFill="1" applyAlignment="1">
      <alignment vertical="center"/>
    </xf>
    <xf numFmtId="0" fontId="57" fillId="6" borderId="0" xfId="11" applyFont="1" applyFill="1" applyAlignment="1">
      <alignment vertical="center"/>
    </xf>
    <xf numFmtId="10" fontId="49" fillId="12" borderId="7" xfId="11" applyNumberFormat="1" applyFont="1" applyFill="1" applyBorder="1" applyAlignment="1">
      <alignment horizontal="center" vertical="center"/>
    </xf>
    <xf numFmtId="0" fontId="49" fillId="6" borderId="7" xfId="0" applyFont="1" applyFill="1" applyBorder="1" applyAlignment="1">
      <alignment horizontal="left" vertical="center"/>
    </xf>
    <xf numFmtId="10" fontId="49" fillId="6" borderId="7" xfId="11" applyNumberFormat="1" applyFont="1" applyFill="1" applyBorder="1" applyAlignment="1">
      <alignment horizontal="right" vertical="center"/>
    </xf>
    <xf numFmtId="174" fontId="49" fillId="6" borderId="7" xfId="430" applyNumberFormat="1" applyFont="1" applyFill="1" applyBorder="1" applyAlignment="1">
      <alignment horizontal="right" vertical="center"/>
    </xf>
    <xf numFmtId="49" fontId="57" fillId="6" borderId="7" xfId="0" applyNumberFormat="1" applyFont="1" applyFill="1" applyBorder="1" applyAlignment="1">
      <alignment horizontal="center" vertical="center"/>
    </xf>
    <xf numFmtId="0" fontId="57" fillId="6" borderId="7" xfId="0" applyFont="1" applyFill="1" applyBorder="1" applyAlignment="1">
      <alignment horizontal="left" vertical="center"/>
    </xf>
    <xf numFmtId="174" fontId="57" fillId="6" borderId="7" xfId="430" applyNumberFormat="1" applyFont="1" applyFill="1" applyBorder="1" applyAlignment="1">
      <alignment horizontal="right" vertical="center"/>
    </xf>
    <xf numFmtId="169" fontId="49" fillId="6" borderId="7" xfId="0" applyNumberFormat="1" applyFont="1" applyFill="1" applyBorder="1" applyAlignment="1">
      <alignment horizontal="right" vertical="center"/>
    </xf>
    <xf numFmtId="0" fontId="49" fillId="6" borderId="7" xfId="0" applyFont="1" applyFill="1" applyBorder="1" applyAlignment="1">
      <alignment horizontal="right" vertical="center"/>
    </xf>
    <xf numFmtId="0" fontId="49" fillId="6" borderId="0" xfId="0" applyFont="1" applyFill="1" applyAlignment="1">
      <alignment horizontal="left" vertical="center"/>
    </xf>
    <xf numFmtId="0" fontId="57" fillId="6" borderId="0" xfId="0" applyFont="1" applyFill="1" applyAlignment="1">
      <alignment horizontal="left" vertical="center"/>
    </xf>
    <xf numFmtId="0" fontId="49" fillId="6" borderId="0" xfId="0" applyFont="1" applyFill="1" applyAlignment="1">
      <alignment horizontal="left" vertical="center" wrapText="1"/>
    </xf>
    <xf numFmtId="17" fontId="49" fillId="6" borderId="0" xfId="0" applyNumberFormat="1" applyFont="1" applyFill="1" applyAlignment="1">
      <alignment horizontal="left" vertical="center"/>
    </xf>
    <xf numFmtId="14" fontId="49" fillId="6" borderId="0" xfId="0" applyNumberFormat="1" applyFont="1" applyFill="1" applyAlignment="1">
      <alignment horizontal="left" vertical="center"/>
    </xf>
    <xf numFmtId="174" fontId="49" fillId="6" borderId="0" xfId="0" applyNumberFormat="1" applyFont="1" applyFill="1" applyAlignment="1">
      <alignment horizontal="left" vertical="center"/>
    </xf>
    <xf numFmtId="182" fontId="49" fillId="6" borderId="0" xfId="0" applyNumberFormat="1" applyFont="1" applyFill="1" applyAlignment="1">
      <alignment horizontal="left" vertical="center"/>
    </xf>
    <xf numFmtId="10" fontId="49" fillId="6" borderId="0" xfId="0" applyNumberFormat="1" applyFont="1" applyFill="1" applyAlignment="1">
      <alignment horizontal="left" vertical="center"/>
    </xf>
    <xf numFmtId="4" fontId="49" fillId="6" borderId="44" xfId="11" applyNumberFormat="1" applyFont="1" applyFill="1" applyBorder="1" applyAlignment="1">
      <alignment horizontal="right" vertical="center"/>
    </xf>
    <xf numFmtId="10" fontId="49" fillId="6" borderId="44" xfId="11" applyNumberFormat="1" applyFont="1" applyFill="1" applyBorder="1" applyAlignment="1">
      <alignment horizontal="right" vertical="center"/>
    </xf>
    <xf numFmtId="168" fontId="26" fillId="6" borderId="44" xfId="0" applyNumberFormat="1" applyFont="1" applyFill="1" applyBorder="1" applyAlignment="1">
      <alignment horizontal="center" vertical="center"/>
    </xf>
    <xf numFmtId="180" fontId="49" fillId="6" borderId="44" xfId="11" quotePrefix="1" applyNumberFormat="1" applyFont="1" applyFill="1" applyBorder="1" applyAlignment="1">
      <alignment horizontal="center" vertical="center" wrapText="1"/>
    </xf>
    <xf numFmtId="4" fontId="26" fillId="6" borderId="44" xfId="0" applyNumberFormat="1" applyFont="1" applyFill="1" applyBorder="1" applyAlignment="1">
      <alignment horizontal="right" vertical="center"/>
    </xf>
    <xf numFmtId="10" fontId="26" fillId="6" borderId="44" xfId="0" applyNumberFormat="1" applyFont="1" applyFill="1" applyBorder="1" applyAlignment="1">
      <alignment horizontal="right" vertical="center"/>
    </xf>
    <xf numFmtId="10" fontId="26" fillId="6" borderId="44" xfId="0" applyNumberFormat="1" applyFont="1" applyFill="1" applyBorder="1" applyAlignment="1">
      <alignment horizontal="center" vertical="center"/>
    </xf>
    <xf numFmtId="10" fontId="49" fillId="6" borderId="44" xfId="0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181" fontId="49" fillId="9" borderId="44" xfId="0" applyNumberFormat="1" applyFont="1" applyFill="1" applyBorder="1" applyAlignment="1">
      <alignment vertical="center"/>
    </xf>
    <xf numFmtId="4" fontId="46" fillId="6" borderId="44" xfId="11" applyNumberFormat="1" applyFont="1" applyFill="1" applyBorder="1" applyAlignment="1">
      <alignment horizontal="right" vertical="center"/>
    </xf>
    <xf numFmtId="180" fontId="49" fillId="6" borderId="11" xfId="11" quotePrefix="1" applyNumberFormat="1" applyFont="1" applyFill="1" applyBorder="1" applyAlignment="1">
      <alignment horizontal="center" vertical="center" wrapText="1"/>
    </xf>
    <xf numFmtId="4" fontId="49" fillId="6" borderId="4" xfId="11" applyNumberFormat="1" applyFont="1" applyFill="1" applyBorder="1" applyAlignment="1">
      <alignment vertical="center" wrapText="1"/>
    </xf>
    <xf numFmtId="10" fontId="26" fillId="6" borderId="4" xfId="0" applyNumberFormat="1" applyFont="1" applyFill="1" applyBorder="1" applyAlignment="1">
      <alignment horizontal="right" vertical="center"/>
    </xf>
    <xf numFmtId="0" fontId="49" fillId="6" borderId="11" xfId="0" applyFont="1" applyFill="1" applyBorder="1" applyAlignment="1">
      <alignment horizontal="left" vertical="center"/>
    </xf>
    <xf numFmtId="174" fontId="49" fillId="6" borderId="11" xfId="430" applyNumberFormat="1" applyFont="1" applyFill="1" applyBorder="1" applyAlignment="1">
      <alignment horizontal="right" vertical="center"/>
    </xf>
    <xf numFmtId="0" fontId="49" fillId="6" borderId="18" xfId="0" applyFont="1" applyFill="1" applyBorder="1" applyAlignment="1">
      <alignment horizontal="center" vertical="center"/>
    </xf>
    <xf numFmtId="0" fontId="49" fillId="6" borderId="18" xfId="0" applyFont="1" applyFill="1" applyBorder="1" applyAlignment="1">
      <alignment horizontal="left" vertical="center"/>
    </xf>
    <xf numFmtId="0" fontId="49" fillId="6" borderId="18" xfId="0" applyFont="1" applyFill="1" applyBorder="1" applyAlignment="1">
      <alignment horizontal="right" vertical="center"/>
    </xf>
    <xf numFmtId="174" fontId="49" fillId="6" borderId="18" xfId="430" applyNumberFormat="1" applyFont="1" applyFill="1" applyBorder="1" applyAlignment="1">
      <alignment horizontal="right" vertical="center"/>
    </xf>
    <xf numFmtId="0" fontId="49" fillId="6" borderId="11" xfId="0" applyFont="1" applyFill="1" applyBorder="1" applyAlignment="1">
      <alignment horizontal="center" vertical="center"/>
    </xf>
    <xf numFmtId="0" fontId="49" fillId="6" borderId="11" xfId="0" applyFont="1" applyFill="1" applyBorder="1" applyAlignment="1">
      <alignment horizontal="right" vertical="center"/>
    </xf>
    <xf numFmtId="0" fontId="57" fillId="6" borderId="18" xfId="0" applyFont="1" applyFill="1" applyBorder="1" applyAlignment="1">
      <alignment horizontal="center" vertical="center"/>
    </xf>
    <xf numFmtId="0" fontId="49" fillId="6" borderId="24" xfId="0" applyFont="1" applyFill="1" applyBorder="1" applyAlignment="1">
      <alignment horizontal="center" vertical="center"/>
    </xf>
    <xf numFmtId="0" fontId="49" fillId="6" borderId="24" xfId="0" applyFont="1" applyFill="1" applyBorder="1" applyAlignment="1">
      <alignment horizontal="left" vertical="center"/>
    </xf>
    <xf numFmtId="10" fontId="49" fillId="6" borderId="24" xfId="11" applyNumberFormat="1" applyFont="1" applyFill="1" applyBorder="1" applyAlignment="1">
      <alignment horizontal="right" vertical="center"/>
    </xf>
    <xf numFmtId="174" fontId="49" fillId="6" borderId="24" xfId="430" applyNumberFormat="1" applyFont="1" applyFill="1" applyBorder="1" applyAlignment="1">
      <alignment horizontal="right" vertical="center"/>
    </xf>
    <xf numFmtId="169" fontId="49" fillId="6" borderId="18" xfId="0" applyNumberFormat="1" applyFont="1" applyFill="1" applyBorder="1" applyAlignment="1">
      <alignment horizontal="right" vertical="center"/>
    </xf>
    <xf numFmtId="0" fontId="57" fillId="6" borderId="11" xfId="0" applyFont="1" applyFill="1" applyBorder="1" applyAlignment="1">
      <alignment horizontal="center" vertical="center"/>
    </xf>
    <xf numFmtId="169" fontId="49" fillId="6" borderId="11" xfId="0" applyNumberFormat="1" applyFont="1" applyFill="1" applyBorder="1" applyAlignment="1">
      <alignment horizontal="right" vertical="center"/>
    </xf>
    <xf numFmtId="49" fontId="49" fillId="6" borderId="18" xfId="0" applyNumberFormat="1" applyFont="1" applyFill="1" applyBorder="1" applyAlignment="1">
      <alignment horizontal="center" vertical="center"/>
    </xf>
    <xf numFmtId="0" fontId="49" fillId="6" borderId="18" xfId="11" applyFont="1" applyFill="1" applyBorder="1" applyAlignment="1">
      <alignment horizontal="left" vertical="center"/>
    </xf>
    <xf numFmtId="49" fontId="49" fillId="6" borderId="11" xfId="0" applyNumberFormat="1" applyFont="1" applyFill="1" applyBorder="1" applyAlignment="1">
      <alignment horizontal="center" vertical="center"/>
    </xf>
    <xf numFmtId="0" fontId="49" fillId="6" borderId="11" xfId="11" applyFont="1" applyFill="1" applyBorder="1" applyAlignment="1">
      <alignment horizontal="left" vertical="center"/>
    </xf>
    <xf numFmtId="0" fontId="67" fillId="6" borderId="7" xfId="11" applyFont="1" applyFill="1" applyBorder="1" applyAlignment="1">
      <alignment horizontal="right" vertical="center"/>
    </xf>
    <xf numFmtId="0" fontId="67" fillId="6" borderId="7" xfId="11" applyFont="1" applyFill="1" applyBorder="1" applyAlignment="1">
      <alignment horizontal="left" vertical="center"/>
    </xf>
    <xf numFmtId="0" fontId="49" fillId="6" borderId="7" xfId="11" applyFont="1" applyFill="1" applyBorder="1" applyAlignment="1">
      <alignment horizontal="right" vertical="center"/>
    </xf>
    <xf numFmtId="0" fontId="49" fillId="6" borderId="11" xfId="11" applyFont="1" applyFill="1" applyBorder="1" applyAlignment="1">
      <alignment horizontal="center" vertical="center"/>
    </xf>
    <xf numFmtId="0" fontId="49" fillId="6" borderId="11" xfId="11" applyFont="1" applyFill="1" applyBorder="1" applyAlignment="1">
      <alignment horizontal="left" vertical="center" wrapText="1"/>
    </xf>
    <xf numFmtId="168" fontId="49" fillId="6" borderId="11" xfId="11" applyNumberFormat="1" applyFont="1" applyFill="1" applyBorder="1" applyAlignment="1">
      <alignment horizontal="center" vertical="center"/>
    </xf>
    <xf numFmtId="10" fontId="49" fillId="11" borderId="11" xfId="11" applyNumberFormat="1" applyFont="1" applyFill="1" applyBorder="1" applyAlignment="1">
      <alignment horizontal="center" vertical="center"/>
    </xf>
    <xf numFmtId="0" fontId="49" fillId="6" borderId="11" xfId="11" applyFont="1" applyFill="1" applyBorder="1" applyAlignment="1">
      <alignment horizontal="center" vertical="center" wrapText="1"/>
    </xf>
    <xf numFmtId="181" fontId="49" fillId="6" borderId="44" xfId="0" applyNumberFormat="1" applyFont="1" applyFill="1" applyBorder="1" applyAlignment="1">
      <alignment vertical="center"/>
    </xf>
    <xf numFmtId="181" fontId="49" fillId="6" borderId="27" xfId="0" applyNumberFormat="1" applyFont="1" applyFill="1" applyBorder="1" applyAlignment="1">
      <alignment vertical="center"/>
    </xf>
    <xf numFmtId="181" fontId="49" fillId="6" borderId="28" xfId="0" applyNumberFormat="1" applyFont="1" applyFill="1" applyBorder="1" applyAlignment="1">
      <alignment vertical="center"/>
    </xf>
    <xf numFmtId="7" fontId="26" fillId="6" borderId="4" xfId="0" applyNumberFormat="1" applyFont="1" applyFill="1" applyBorder="1" applyAlignment="1">
      <alignment horizontal="left" vertical="center"/>
    </xf>
    <xf numFmtId="4" fontId="49" fillId="6" borderId="0" xfId="0" applyNumberFormat="1" applyFont="1" applyFill="1" applyAlignment="1">
      <alignment vertical="center"/>
    </xf>
    <xf numFmtId="181" fontId="49" fillId="9" borderId="46" xfId="0" applyNumberFormat="1" applyFont="1" applyFill="1" applyBorder="1" applyAlignment="1">
      <alignment vertical="center"/>
    </xf>
    <xf numFmtId="181" fontId="49" fillId="6" borderId="46" xfId="0" applyNumberFormat="1" applyFont="1" applyFill="1" applyBorder="1" applyAlignment="1">
      <alignment vertical="center"/>
    </xf>
    <xf numFmtId="10" fontId="49" fillId="6" borderId="46" xfId="11" applyNumberFormat="1" applyFont="1" applyFill="1" applyBorder="1" applyAlignment="1">
      <alignment horizontal="right" vertical="center"/>
    </xf>
    <xf numFmtId="4" fontId="49" fillId="6" borderId="46" xfId="11" applyNumberFormat="1" applyFont="1" applyFill="1" applyBorder="1" applyAlignment="1">
      <alignment horizontal="right" vertical="center"/>
    </xf>
    <xf numFmtId="4" fontId="49" fillId="9" borderId="27" xfId="0" applyNumberFormat="1" applyFont="1" applyFill="1" applyBorder="1" applyAlignment="1">
      <alignment vertical="center"/>
    </xf>
    <xf numFmtId="4" fontId="49" fillId="9" borderId="46" xfId="0" applyNumberFormat="1" applyFont="1" applyFill="1" applyBorder="1" applyAlignment="1">
      <alignment vertical="center"/>
    </xf>
    <xf numFmtId="4" fontId="49" fillId="6" borderId="27" xfId="0" applyNumberFormat="1" applyFont="1" applyFill="1" applyBorder="1" applyAlignment="1">
      <alignment vertical="center"/>
    </xf>
    <xf numFmtId="4" fontId="49" fillId="9" borderId="28" xfId="0" applyNumberFormat="1" applyFont="1" applyFill="1" applyBorder="1" applyAlignment="1">
      <alignment vertical="center"/>
    </xf>
    <xf numFmtId="0" fontId="68" fillId="9" borderId="0" xfId="0" applyFont="1" applyFill="1" applyAlignment="1">
      <alignment horizontal="left" vertical="center"/>
    </xf>
    <xf numFmtId="0" fontId="68" fillId="9" borderId="0" xfId="0" applyFont="1" applyFill="1" applyAlignment="1">
      <alignment vertical="center"/>
    </xf>
    <xf numFmtId="0" fontId="49" fillId="9" borderId="0" xfId="0" applyFont="1" applyFill="1" applyAlignment="1">
      <alignment horizontal="right" vertical="center"/>
    </xf>
    <xf numFmtId="181" fontId="49" fillId="9" borderId="0" xfId="0" applyNumberFormat="1" applyFont="1" applyFill="1" applyAlignment="1">
      <alignment horizontal="right" vertical="center"/>
    </xf>
    <xf numFmtId="0" fontId="57" fillId="6" borderId="0" xfId="11" applyFont="1" applyFill="1" applyAlignment="1">
      <alignment horizontal="center" vertical="center"/>
    </xf>
    <xf numFmtId="2" fontId="57" fillId="6" borderId="0" xfId="11" applyNumberFormat="1" applyFont="1" applyFill="1" applyAlignment="1">
      <alignment horizontal="right" vertical="center"/>
    </xf>
    <xf numFmtId="4" fontId="57" fillId="0" borderId="7" xfId="27" applyNumberFormat="1" applyFont="1" applyFill="1" applyBorder="1" applyAlignment="1">
      <alignment horizontal="right" vertical="center"/>
    </xf>
    <xf numFmtId="4" fontId="57" fillId="6" borderId="26" xfId="27" applyNumberFormat="1" applyFont="1" applyFill="1" applyBorder="1" applyAlignment="1">
      <alignment horizontal="right" vertical="center"/>
    </xf>
    <xf numFmtId="10" fontId="49" fillId="6" borderId="0" xfId="26" applyNumberFormat="1" applyFont="1" applyFill="1" applyBorder="1" applyAlignment="1">
      <alignment horizontal="center" vertical="center"/>
    </xf>
    <xf numFmtId="4" fontId="49" fillId="6" borderId="7" xfId="27" applyNumberFormat="1" applyFont="1" applyFill="1" applyBorder="1" applyAlignment="1">
      <alignment horizontal="right" vertical="center"/>
    </xf>
    <xf numFmtId="4" fontId="49" fillId="6" borderId="27" xfId="27" applyNumberFormat="1" applyFont="1" applyFill="1" applyBorder="1" applyAlignment="1">
      <alignment horizontal="right" vertical="center"/>
    </xf>
    <xf numFmtId="169" fontId="49" fillId="6" borderId="0" xfId="26" applyNumberFormat="1" applyFont="1" applyFill="1" applyBorder="1" applyAlignment="1">
      <alignment horizontal="center" vertical="center"/>
    </xf>
    <xf numFmtId="4" fontId="57" fillId="6" borderId="7" xfId="27" applyNumberFormat="1" applyFont="1" applyFill="1" applyBorder="1" applyAlignment="1">
      <alignment horizontal="right" vertical="center"/>
    </xf>
    <xf numFmtId="4" fontId="57" fillId="6" borderId="27" xfId="27" applyNumberFormat="1" applyFont="1" applyFill="1" applyBorder="1" applyAlignment="1">
      <alignment horizontal="right" vertical="center"/>
    </xf>
    <xf numFmtId="10" fontId="49" fillId="6" borderId="7" xfId="15" applyNumberFormat="1" applyFont="1" applyFill="1" applyBorder="1" applyAlignment="1">
      <alignment horizontal="right" vertical="center"/>
    </xf>
    <xf numFmtId="10" fontId="49" fillId="6" borderId="28" xfId="15" applyNumberFormat="1" applyFont="1" applyFill="1" applyBorder="1" applyAlignment="1">
      <alignment horizontal="right" vertical="center"/>
    </xf>
    <xf numFmtId="4" fontId="47" fillId="6" borderId="46" xfId="11" applyNumberFormat="1" applyFont="1" applyFill="1" applyBorder="1" applyAlignment="1">
      <alignment horizontal="right" vertical="center"/>
    </xf>
    <xf numFmtId="0" fontId="49" fillId="6" borderId="0" xfId="11" applyFont="1" applyFill="1" applyAlignment="1">
      <alignment horizontal="left" vertical="center" wrapText="1"/>
    </xf>
    <xf numFmtId="4" fontId="49" fillId="9" borderId="27" xfId="0" applyNumberFormat="1" applyFont="1" applyFill="1" applyBorder="1" applyAlignment="1">
      <alignment horizontal="center" vertical="center"/>
    </xf>
    <xf numFmtId="4" fontId="47" fillId="6" borderId="0" xfId="11" applyNumberFormat="1" applyFont="1" applyFill="1" applyAlignment="1">
      <alignment horizontal="center" vertical="center"/>
    </xf>
    <xf numFmtId="4" fontId="49" fillId="9" borderId="28" xfId="0" applyNumberFormat="1" applyFont="1" applyFill="1" applyBorder="1" applyAlignment="1">
      <alignment horizontal="center" vertical="center"/>
    </xf>
    <xf numFmtId="0" fontId="49" fillId="14" borderId="7" xfId="11" applyFont="1" applyFill="1" applyBorder="1" applyAlignment="1">
      <alignment horizontal="center" vertical="center"/>
    </xf>
    <xf numFmtId="0" fontId="49" fillId="6" borderId="7" xfId="11" applyFont="1" applyFill="1" applyBorder="1" applyAlignment="1">
      <alignment horizontal="center" vertical="center"/>
    </xf>
    <xf numFmtId="17" fontId="49" fillId="6" borderId="7" xfId="11" applyNumberFormat="1" applyFont="1" applyFill="1" applyBorder="1" applyAlignment="1">
      <alignment horizontal="center" vertical="center"/>
    </xf>
    <xf numFmtId="43" fontId="49" fillId="6" borderId="7" xfId="11" applyNumberFormat="1" applyFont="1" applyFill="1" applyBorder="1" applyAlignment="1">
      <alignment vertical="center" wrapText="1"/>
    </xf>
    <xf numFmtId="43" fontId="49" fillId="6" borderId="7" xfId="11" applyNumberFormat="1" applyFont="1" applyFill="1" applyBorder="1" applyAlignment="1">
      <alignment horizontal="center" vertical="center" wrapText="1"/>
    </xf>
    <xf numFmtId="0" fontId="49" fillId="6" borderId="7" xfId="11" applyFont="1" applyFill="1" applyBorder="1" applyAlignment="1">
      <alignment horizontal="left" vertical="center" wrapText="1"/>
    </xf>
    <xf numFmtId="14" fontId="49" fillId="6" borderId="7" xfId="11" applyNumberFormat="1" applyFont="1" applyFill="1" applyBorder="1" applyAlignment="1">
      <alignment horizontal="right" vertical="center" wrapText="1"/>
    </xf>
    <xf numFmtId="43" fontId="48" fillId="6" borderId="7" xfId="11" applyNumberFormat="1" applyFont="1" applyFill="1" applyBorder="1" applyAlignment="1">
      <alignment vertical="center" wrapText="1"/>
    </xf>
    <xf numFmtId="43" fontId="49" fillId="6" borderId="0" xfId="11" applyNumberFormat="1" applyFont="1" applyFill="1" applyAlignment="1">
      <alignment vertical="center" wrapText="1"/>
    </xf>
    <xf numFmtId="0" fontId="49" fillId="6" borderId="7" xfId="11" applyFont="1" applyFill="1" applyBorder="1" applyAlignment="1">
      <alignment horizontal="center" vertical="center" wrapText="1"/>
    </xf>
    <xf numFmtId="43" fontId="57" fillId="6" borderId="7" xfId="11" applyNumberFormat="1" applyFont="1" applyFill="1" applyBorder="1" applyAlignment="1">
      <alignment horizontal="center" vertical="center" wrapText="1"/>
    </xf>
    <xf numFmtId="43" fontId="57" fillId="6" borderId="7" xfId="11" applyNumberFormat="1" applyFont="1" applyFill="1" applyBorder="1" applyAlignment="1">
      <alignment vertical="center" wrapText="1"/>
    </xf>
    <xf numFmtId="4" fontId="47" fillId="6" borderId="44" xfId="11" applyNumberFormat="1" applyFont="1" applyFill="1" applyBorder="1" applyAlignment="1">
      <alignment horizontal="center" vertical="center"/>
    </xf>
    <xf numFmtId="4" fontId="47" fillId="6" borderId="26" xfId="11" applyNumberFormat="1" applyFont="1" applyFill="1" applyBorder="1" applyAlignment="1">
      <alignment horizontal="center" vertical="center"/>
    </xf>
    <xf numFmtId="4" fontId="47" fillId="6" borderId="27" xfId="11" applyNumberFormat="1" applyFont="1" applyFill="1" applyBorder="1" applyAlignment="1">
      <alignment horizontal="center" vertical="center"/>
    </xf>
    <xf numFmtId="4" fontId="47" fillId="6" borderId="28" xfId="11" applyNumberFormat="1" applyFont="1" applyFill="1" applyBorder="1" applyAlignment="1">
      <alignment horizontal="center" vertical="center"/>
    </xf>
    <xf numFmtId="10" fontId="49" fillId="6" borderId="4" xfId="4" applyNumberFormat="1" applyFont="1" applyFill="1" applyBorder="1" applyAlignment="1">
      <alignment vertical="center"/>
    </xf>
    <xf numFmtId="0" fontId="49" fillId="6" borderId="4" xfId="4" applyFont="1" applyFill="1" applyBorder="1" applyAlignment="1">
      <alignment vertical="center"/>
    </xf>
    <xf numFmtId="0" fontId="57" fillId="6" borderId="4" xfId="4" applyFont="1" applyFill="1" applyBorder="1" applyAlignment="1">
      <alignment vertical="center"/>
    </xf>
    <xf numFmtId="10" fontId="49" fillId="14" borderId="0" xfId="11" applyNumberFormat="1" applyFont="1" applyFill="1" applyAlignment="1">
      <alignment vertical="center"/>
    </xf>
    <xf numFmtId="10" fontId="49" fillId="12" borderId="11" xfId="11" applyNumberFormat="1" applyFont="1" applyFill="1" applyBorder="1" applyAlignment="1">
      <alignment horizontal="center" vertical="center"/>
    </xf>
    <xf numFmtId="0" fontId="49" fillId="12" borderId="7" xfId="11" applyFont="1" applyFill="1" applyBorder="1" applyAlignment="1">
      <alignment horizontal="center" vertical="center"/>
    </xf>
    <xf numFmtId="0" fontId="70" fillId="6" borderId="0" xfId="0" applyFont="1" applyFill="1" applyAlignment="1">
      <alignment vertical="center" wrapText="1"/>
    </xf>
    <xf numFmtId="0" fontId="49" fillId="6" borderId="2" xfId="0" applyFont="1" applyFill="1" applyBorder="1" applyAlignment="1">
      <alignment horizontal="left" vertical="center"/>
    </xf>
    <xf numFmtId="10" fontId="49" fillId="6" borderId="16" xfId="11" applyNumberFormat="1" applyFont="1" applyFill="1" applyBorder="1" applyAlignment="1">
      <alignment horizontal="right" vertical="center"/>
    </xf>
    <xf numFmtId="10" fontId="49" fillId="6" borderId="17" xfId="11" applyNumberFormat="1" applyFont="1" applyFill="1" applyBorder="1" applyAlignment="1">
      <alignment horizontal="right" vertical="center"/>
    </xf>
    <xf numFmtId="10" fontId="49" fillId="6" borderId="12" xfId="11" applyNumberFormat="1" applyFont="1" applyFill="1" applyBorder="1" applyAlignment="1">
      <alignment horizontal="right" vertical="center"/>
    </xf>
    <xf numFmtId="43" fontId="71" fillId="9" borderId="7" xfId="0" applyNumberFormat="1" applyFont="1" applyFill="1" applyBorder="1" applyAlignment="1">
      <alignment horizontal="right" vertical="center"/>
    </xf>
    <xf numFmtId="43" fontId="73" fillId="10" borderId="7" xfId="0" applyNumberFormat="1" applyFont="1" applyFill="1" applyBorder="1" applyAlignment="1">
      <alignment horizontal="right" vertical="center"/>
    </xf>
    <xf numFmtId="43" fontId="73" fillId="9" borderId="7" xfId="0" applyNumberFormat="1" applyFont="1" applyFill="1" applyBorder="1" applyAlignment="1">
      <alignment horizontal="right" vertical="center"/>
    </xf>
    <xf numFmtId="43" fontId="73" fillId="15" borderId="7" xfId="0" applyNumberFormat="1" applyFont="1" applyFill="1" applyBorder="1" applyAlignment="1">
      <alignment horizontal="right" vertical="center"/>
    </xf>
    <xf numFmtId="0" fontId="67" fillId="6" borderId="6" xfId="11" applyFont="1" applyFill="1" applyBorder="1" applyAlignment="1">
      <alignment horizontal="left" vertical="center"/>
    </xf>
    <xf numFmtId="0" fontId="49" fillId="6" borderId="1" xfId="0" applyFont="1" applyFill="1" applyBorder="1" applyAlignment="1">
      <alignment horizontal="left" vertical="center"/>
    </xf>
    <xf numFmtId="0" fontId="49" fillId="6" borderId="16" xfId="11" applyFont="1" applyFill="1" applyBorder="1" applyAlignment="1">
      <alignment horizontal="left" vertical="center"/>
    </xf>
    <xf numFmtId="0" fontId="49" fillId="6" borderId="3" xfId="0" applyFont="1" applyFill="1" applyBorder="1" applyAlignment="1">
      <alignment horizontal="left" vertical="center"/>
    </xf>
    <xf numFmtId="0" fontId="49" fillId="6" borderId="12" xfId="11" applyFont="1" applyFill="1" applyBorder="1" applyAlignment="1">
      <alignment horizontal="left" vertical="center"/>
    </xf>
    <xf numFmtId="0" fontId="49" fillId="6" borderId="6" xfId="11" applyFont="1" applyFill="1" applyBorder="1" applyAlignment="1">
      <alignment horizontal="right" vertical="center"/>
    </xf>
    <xf numFmtId="0" fontId="49" fillId="6" borderId="16" xfId="0" applyFont="1" applyFill="1" applyBorder="1" applyAlignment="1">
      <alignment horizontal="right" vertical="center"/>
    </xf>
    <xf numFmtId="0" fontId="49" fillId="6" borderId="12" xfId="0" applyFont="1" applyFill="1" applyBorder="1" applyAlignment="1">
      <alignment horizontal="right" vertical="center"/>
    </xf>
    <xf numFmtId="0" fontId="49" fillId="6" borderId="5" xfId="0" applyFont="1" applyFill="1" applyBorder="1" applyAlignment="1">
      <alignment horizontal="left" vertical="center"/>
    </xf>
    <xf numFmtId="0" fontId="49" fillId="6" borderId="6" xfId="0" applyFont="1" applyFill="1" applyBorder="1" applyAlignment="1">
      <alignment horizontal="right" vertical="center"/>
    </xf>
    <xf numFmtId="169" fontId="49" fillId="6" borderId="16" xfId="0" applyNumberFormat="1" applyFont="1" applyFill="1" applyBorder="1" applyAlignment="1">
      <alignment horizontal="right" vertical="center"/>
    </xf>
    <xf numFmtId="169" fontId="49" fillId="6" borderId="12" xfId="0" applyNumberFormat="1" applyFont="1" applyFill="1" applyBorder="1" applyAlignment="1">
      <alignment horizontal="right" vertical="center"/>
    </xf>
    <xf numFmtId="169" fontId="49" fillId="6" borderId="6" xfId="0" applyNumberFormat="1" applyFont="1" applyFill="1" applyBorder="1" applyAlignment="1">
      <alignment horizontal="right" vertical="center"/>
    </xf>
    <xf numFmtId="10" fontId="49" fillId="6" borderId="6" xfId="11" applyNumberFormat="1" applyFont="1" applyFill="1" applyBorder="1" applyAlignment="1">
      <alignment horizontal="right" vertical="center"/>
    </xf>
    <xf numFmtId="181" fontId="46" fillId="6" borderId="47" xfId="0" applyNumberFormat="1" applyFont="1" applyFill="1" applyBorder="1" applyAlignment="1">
      <alignment vertical="center"/>
    </xf>
    <xf numFmtId="181" fontId="47" fillId="6" borderId="48" xfId="0" applyNumberFormat="1" applyFont="1" applyFill="1" applyBorder="1" applyAlignment="1">
      <alignment vertical="center"/>
    </xf>
    <xf numFmtId="181" fontId="46" fillId="6" borderId="48" xfId="0" applyNumberFormat="1" applyFont="1" applyFill="1" applyBorder="1" applyAlignment="1">
      <alignment vertical="center"/>
    </xf>
    <xf numFmtId="181" fontId="46" fillId="6" borderId="49" xfId="0" applyNumberFormat="1" applyFont="1" applyFill="1" applyBorder="1" applyAlignment="1">
      <alignment vertical="center"/>
    </xf>
    <xf numFmtId="181" fontId="61" fillId="6" borderId="0" xfId="0" applyNumberFormat="1" applyFont="1" applyFill="1" applyAlignment="1">
      <alignment vertical="center"/>
    </xf>
    <xf numFmtId="2" fontId="75" fillId="0" borderId="27" xfId="11" applyNumberFormat="1" applyFont="1" applyBorder="1" applyAlignment="1">
      <alignment horizontal="center" vertical="center"/>
    </xf>
    <xf numFmtId="4" fontId="75" fillId="0" borderId="27" xfId="11" applyNumberFormat="1" applyFont="1" applyBorder="1" applyAlignment="1">
      <alignment horizontal="right" vertical="center"/>
    </xf>
    <xf numFmtId="4" fontId="75" fillId="0" borderId="51" xfId="11" applyNumberFormat="1" applyFont="1" applyBorder="1" applyAlignment="1">
      <alignment horizontal="right" vertical="center"/>
    </xf>
    <xf numFmtId="4" fontId="57" fillId="9" borderId="44" xfId="0" applyNumberFormat="1" applyFont="1" applyFill="1" applyBorder="1" applyAlignment="1">
      <alignment vertical="center"/>
    </xf>
    <xf numFmtId="181" fontId="49" fillId="6" borderId="0" xfId="0" applyNumberFormat="1" applyFont="1" applyFill="1" applyAlignment="1">
      <alignment vertical="center"/>
    </xf>
    <xf numFmtId="10" fontId="49" fillId="6" borderId="0" xfId="11" applyNumberFormat="1" applyFont="1" applyFill="1" applyAlignment="1">
      <alignment horizontal="right" vertical="center"/>
    </xf>
    <xf numFmtId="0" fontId="76" fillId="0" borderId="50" xfId="0" applyFont="1" applyBorder="1" applyAlignment="1" applyProtection="1">
      <alignment vertical="center"/>
      <protection locked="0"/>
    </xf>
    <xf numFmtId="0" fontId="77" fillId="0" borderId="50" xfId="0" applyFont="1" applyBorder="1" applyAlignment="1" applyProtection="1">
      <alignment vertical="center"/>
      <protection locked="0"/>
    </xf>
    <xf numFmtId="0" fontId="75" fillId="0" borderId="50" xfId="0" applyFont="1" applyBorder="1" applyAlignment="1" applyProtection="1">
      <alignment vertical="center"/>
      <protection locked="0"/>
    </xf>
    <xf numFmtId="0" fontId="75" fillId="0" borderId="50" xfId="0" applyFont="1" applyBorder="1" applyAlignment="1" applyProtection="1">
      <alignment vertical="center" wrapText="1"/>
      <protection locked="0"/>
    </xf>
    <xf numFmtId="2" fontId="77" fillId="0" borderId="27" xfId="11" applyNumberFormat="1" applyFont="1" applyBorder="1" applyAlignment="1">
      <alignment horizontal="center" vertical="center"/>
    </xf>
    <xf numFmtId="4" fontId="77" fillId="0" borderId="27" xfId="11" applyNumberFormat="1" applyFont="1" applyBorder="1" applyAlignment="1">
      <alignment horizontal="right" vertical="center"/>
    </xf>
    <xf numFmtId="4" fontId="77" fillId="0" borderId="51" xfId="11" applyNumberFormat="1" applyFont="1" applyBorder="1" applyAlignment="1">
      <alignment horizontal="right" vertical="center"/>
    </xf>
    <xf numFmtId="2" fontId="76" fillId="0" borderId="27" xfId="11" applyNumberFormat="1" applyFont="1" applyBorder="1" applyAlignment="1">
      <alignment horizontal="center" vertical="center"/>
    </xf>
    <xf numFmtId="4" fontId="76" fillId="0" borderId="27" xfId="11" applyNumberFormat="1" applyFont="1" applyBorder="1" applyAlignment="1">
      <alignment horizontal="right" vertical="center"/>
    </xf>
    <xf numFmtId="4" fontId="76" fillId="0" borderId="51" xfId="11" applyNumberFormat="1" applyFont="1" applyBorder="1" applyAlignment="1">
      <alignment horizontal="right" vertical="center"/>
    </xf>
    <xf numFmtId="0" fontId="75" fillId="0" borderId="27" xfId="0" applyFont="1" applyBorder="1" applyAlignment="1" applyProtection="1">
      <alignment horizontal="center" vertical="center"/>
      <protection locked="0"/>
    </xf>
    <xf numFmtId="4" fontId="75" fillId="0" borderId="27" xfId="0" applyNumberFormat="1" applyFont="1" applyBorder="1" applyAlignment="1" applyProtection="1">
      <alignment horizontal="right" vertical="center"/>
      <protection locked="0"/>
    </xf>
    <xf numFmtId="4" fontId="75" fillId="0" borderId="51" xfId="0" applyNumberFormat="1" applyFont="1" applyBorder="1" applyAlignment="1" applyProtection="1">
      <alignment horizontal="right" vertical="center"/>
      <protection locked="0"/>
    </xf>
    <xf numFmtId="0" fontId="77" fillId="0" borderId="50" xfId="0" applyFont="1" applyBorder="1" applyAlignment="1" applyProtection="1">
      <alignment vertical="center" wrapText="1"/>
      <protection locked="0"/>
    </xf>
    <xf numFmtId="0" fontId="78" fillId="0" borderId="50" xfId="0" applyFont="1" applyBorder="1" applyAlignment="1" applyProtection="1">
      <alignment vertical="center"/>
      <protection locked="0"/>
    </xf>
    <xf numFmtId="2" fontId="78" fillId="0" borderId="27" xfId="11" applyNumberFormat="1" applyFont="1" applyBorder="1" applyAlignment="1">
      <alignment horizontal="center" vertical="center"/>
    </xf>
    <xf numFmtId="4" fontId="78" fillId="0" borderId="27" xfId="11" applyNumberFormat="1" applyFont="1" applyBorder="1" applyAlignment="1">
      <alignment horizontal="right" vertical="center"/>
    </xf>
    <xf numFmtId="4" fontId="78" fillId="0" borderId="51" xfId="11" applyNumberFormat="1" applyFont="1" applyBorder="1" applyAlignment="1">
      <alignment horizontal="right" vertical="center"/>
    </xf>
    <xf numFmtId="0" fontId="76" fillId="0" borderId="50" xfId="0" applyFont="1" applyBorder="1" applyAlignment="1" applyProtection="1">
      <alignment vertical="center" wrapText="1"/>
      <protection locked="0"/>
    </xf>
    <xf numFmtId="0" fontId="76" fillId="0" borderId="27" xfId="0" applyFont="1" applyBorder="1" applyAlignment="1" applyProtection="1">
      <alignment horizontal="center" vertical="center"/>
      <protection locked="0"/>
    </xf>
    <xf numFmtId="4" fontId="76" fillId="0" borderId="27" xfId="0" applyNumberFormat="1" applyFont="1" applyBorder="1" applyAlignment="1" applyProtection="1">
      <alignment horizontal="right" vertical="center"/>
      <protection locked="0"/>
    </xf>
    <xf numFmtId="4" fontId="76" fillId="0" borderId="51" xfId="0" applyNumberFormat="1" applyFont="1" applyBorder="1" applyAlignment="1" applyProtection="1">
      <alignment horizontal="right" vertical="center"/>
      <protection locked="0"/>
    </xf>
    <xf numFmtId="0" fontId="75" fillId="0" borderId="50" xfId="0" applyFont="1" applyBorder="1" applyAlignment="1" applyProtection="1">
      <alignment horizontal="left" vertical="center"/>
      <protection locked="0"/>
    </xf>
    <xf numFmtId="0" fontId="75" fillId="0" borderId="52" xfId="0" applyFont="1" applyBorder="1" applyAlignment="1" applyProtection="1">
      <alignment vertical="center"/>
      <protection locked="0"/>
    </xf>
    <xf numFmtId="2" fontId="75" fillId="0" borderId="28" xfId="11" applyNumberFormat="1" applyFont="1" applyBorder="1" applyAlignment="1">
      <alignment horizontal="center" vertical="center"/>
    </xf>
    <xf numFmtId="4" fontId="75" fillId="0" borderId="28" xfId="11" applyNumberFormat="1" applyFont="1" applyBorder="1" applyAlignment="1">
      <alignment horizontal="right" vertical="center"/>
    </xf>
    <xf numFmtId="4" fontId="75" fillId="0" borderId="53" xfId="11" applyNumberFormat="1" applyFont="1" applyBorder="1" applyAlignment="1">
      <alignment horizontal="right" vertical="center"/>
    </xf>
    <xf numFmtId="2" fontId="75" fillId="6" borderId="27" xfId="11" applyNumberFormat="1" applyFont="1" applyFill="1" applyBorder="1" applyAlignment="1">
      <alignment horizontal="center" vertical="center"/>
    </xf>
    <xf numFmtId="4" fontId="75" fillId="6" borderId="27" xfId="11" applyNumberFormat="1" applyFont="1" applyFill="1" applyBorder="1" applyAlignment="1">
      <alignment horizontal="right" vertical="center"/>
    </xf>
    <xf numFmtId="0" fontId="76" fillId="6" borderId="50" xfId="0" applyFont="1" applyFill="1" applyBorder="1" applyAlignment="1" applyProtection="1">
      <alignment vertical="center"/>
      <protection locked="0"/>
    </xf>
    <xf numFmtId="0" fontId="77" fillId="6" borderId="50" xfId="0" applyFont="1" applyFill="1" applyBorder="1" applyAlignment="1" applyProtection="1">
      <alignment vertical="center"/>
      <protection locked="0"/>
    </xf>
    <xf numFmtId="0" fontId="75" fillId="6" borderId="50" xfId="0" applyFont="1" applyFill="1" applyBorder="1" applyAlignment="1" applyProtection="1">
      <alignment vertical="center"/>
      <protection locked="0"/>
    </xf>
    <xf numFmtId="0" fontId="75" fillId="6" borderId="50" xfId="0" applyFont="1" applyFill="1" applyBorder="1" applyAlignment="1" applyProtection="1">
      <alignment vertical="center" wrapText="1"/>
      <protection locked="0"/>
    </xf>
    <xf numFmtId="2" fontId="77" fillId="6" borderId="27" xfId="11" applyNumberFormat="1" applyFont="1" applyFill="1" applyBorder="1" applyAlignment="1">
      <alignment horizontal="center" vertical="center"/>
    </xf>
    <xf numFmtId="4" fontId="77" fillId="6" borderId="27" xfId="11" applyNumberFormat="1" applyFont="1" applyFill="1" applyBorder="1" applyAlignment="1">
      <alignment horizontal="right" vertical="center"/>
    </xf>
    <xf numFmtId="2" fontId="76" fillId="6" borderId="27" xfId="11" applyNumberFormat="1" applyFont="1" applyFill="1" applyBorder="1" applyAlignment="1">
      <alignment horizontal="center" vertical="center"/>
    </xf>
    <xf numFmtId="4" fontId="76" fillId="6" borderId="27" xfId="11" applyNumberFormat="1" applyFont="1" applyFill="1" applyBorder="1" applyAlignment="1">
      <alignment horizontal="right" vertical="center"/>
    </xf>
    <xf numFmtId="0" fontId="75" fillId="6" borderId="27" xfId="0" applyFont="1" applyFill="1" applyBorder="1" applyAlignment="1" applyProtection="1">
      <alignment horizontal="center" vertical="center"/>
      <protection locked="0"/>
    </xf>
    <xf numFmtId="4" fontId="75" fillId="6" borderId="27" xfId="0" applyNumberFormat="1" applyFont="1" applyFill="1" applyBorder="1" applyAlignment="1" applyProtection="1">
      <alignment horizontal="right" vertical="center"/>
      <protection locked="0"/>
    </xf>
    <xf numFmtId="0" fontId="77" fillId="6" borderId="50" xfId="0" applyFont="1" applyFill="1" applyBorder="1" applyAlignment="1" applyProtection="1">
      <alignment vertical="center" wrapText="1"/>
      <protection locked="0"/>
    </xf>
    <xf numFmtId="0" fontId="78" fillId="6" borderId="50" xfId="0" applyFont="1" applyFill="1" applyBorder="1" applyAlignment="1" applyProtection="1">
      <alignment vertical="center"/>
      <protection locked="0"/>
    </xf>
    <xf numFmtId="2" fontId="78" fillId="6" borderId="27" xfId="11" applyNumberFormat="1" applyFont="1" applyFill="1" applyBorder="1" applyAlignment="1">
      <alignment horizontal="center" vertical="center"/>
    </xf>
    <xf numFmtId="4" fontId="78" fillId="6" borderId="27" xfId="11" applyNumberFormat="1" applyFont="1" applyFill="1" applyBorder="1" applyAlignment="1">
      <alignment horizontal="right" vertical="center"/>
    </xf>
    <xf numFmtId="0" fontId="76" fillId="6" borderId="50" xfId="0" applyFont="1" applyFill="1" applyBorder="1" applyAlignment="1" applyProtection="1">
      <alignment vertical="center" wrapText="1"/>
      <protection locked="0"/>
    </xf>
    <xf numFmtId="0" fontId="76" fillId="6" borderId="27" xfId="0" applyFont="1" applyFill="1" applyBorder="1" applyAlignment="1" applyProtection="1">
      <alignment horizontal="center" vertical="center"/>
      <protection locked="0"/>
    </xf>
    <xf numFmtId="4" fontId="76" fillId="6" borderId="27" xfId="0" applyNumberFormat="1" applyFont="1" applyFill="1" applyBorder="1" applyAlignment="1" applyProtection="1">
      <alignment horizontal="right" vertical="center"/>
      <protection locked="0"/>
    </xf>
    <xf numFmtId="0" fontId="75" fillId="6" borderId="50" xfId="0" applyFont="1" applyFill="1" applyBorder="1" applyAlignment="1" applyProtection="1">
      <alignment horizontal="left" vertical="center"/>
      <protection locked="0"/>
    </xf>
    <xf numFmtId="0" fontId="75" fillId="6" borderId="52" xfId="0" applyFont="1" applyFill="1" applyBorder="1" applyAlignment="1" applyProtection="1">
      <alignment vertical="center"/>
      <protection locked="0"/>
    </xf>
    <xf numFmtId="2" fontId="75" fillId="6" borderId="28" xfId="11" applyNumberFormat="1" applyFont="1" applyFill="1" applyBorder="1" applyAlignment="1">
      <alignment horizontal="center" vertical="center"/>
    </xf>
    <xf numFmtId="4" fontId="75" fillId="6" borderId="28" xfId="11" applyNumberFormat="1" applyFont="1" applyFill="1" applyBorder="1" applyAlignment="1">
      <alignment horizontal="right" vertical="center"/>
    </xf>
    <xf numFmtId="0" fontId="76" fillId="6" borderId="54" xfId="11" quotePrefix="1" applyFont="1" applyFill="1" applyBorder="1" applyAlignment="1">
      <alignment horizontal="left" vertical="center"/>
    </xf>
    <xf numFmtId="0" fontId="77" fillId="6" borderId="54" xfId="11" quotePrefix="1" applyFont="1" applyFill="1" applyBorder="1" applyAlignment="1">
      <alignment horizontal="left" vertical="center"/>
    </xf>
    <xf numFmtId="0" fontId="75" fillId="6" borderId="54" xfId="11" quotePrefix="1" applyFont="1" applyFill="1" applyBorder="1" applyAlignment="1">
      <alignment horizontal="left" vertical="center"/>
    </xf>
    <xf numFmtId="0" fontId="78" fillId="6" borderId="54" xfId="11" quotePrefix="1" applyFont="1" applyFill="1" applyBorder="1" applyAlignment="1">
      <alignment horizontal="left" vertical="center"/>
    </xf>
    <xf numFmtId="0" fontId="75" fillId="6" borderId="55" xfId="11" quotePrefix="1" applyFont="1" applyFill="1" applyBorder="1" applyAlignment="1">
      <alignment horizontal="left" vertical="center"/>
    </xf>
    <xf numFmtId="0" fontId="76" fillId="0" borderId="54" xfId="11" quotePrefix="1" applyFont="1" applyBorder="1" applyAlignment="1">
      <alignment horizontal="left" vertical="center"/>
    </xf>
    <xf numFmtId="0" fontId="77" fillId="0" borderId="54" xfId="11" quotePrefix="1" applyFont="1" applyBorder="1" applyAlignment="1">
      <alignment horizontal="left" vertical="center"/>
    </xf>
    <xf numFmtId="0" fontId="75" fillId="0" borderId="54" xfId="11" quotePrefix="1" applyFont="1" applyBorder="1" applyAlignment="1">
      <alignment horizontal="left" vertical="center"/>
    </xf>
    <xf numFmtId="0" fontId="78" fillId="0" borderId="54" xfId="11" quotePrefix="1" applyFont="1" applyBorder="1" applyAlignment="1">
      <alignment horizontal="left" vertical="center"/>
    </xf>
    <xf numFmtId="0" fontId="75" fillId="0" borderId="55" xfId="11" quotePrefix="1" applyFont="1" applyBorder="1" applyAlignment="1">
      <alignment horizontal="left" vertical="center"/>
    </xf>
    <xf numFmtId="167" fontId="49" fillId="6" borderId="27" xfId="11" applyNumberFormat="1" applyFont="1" applyFill="1" applyBorder="1" applyAlignment="1">
      <alignment vertical="center"/>
    </xf>
    <xf numFmtId="0" fontId="49" fillId="6" borderId="27" xfId="11" applyFont="1" applyFill="1" applyBorder="1" applyAlignment="1">
      <alignment vertical="center"/>
    </xf>
    <xf numFmtId="8" fontId="49" fillId="6" borderId="27" xfId="11" applyNumberFormat="1" applyFont="1" applyFill="1" applyBorder="1" applyAlignment="1">
      <alignment vertical="center"/>
    </xf>
    <xf numFmtId="0" fontId="49" fillId="6" borderId="28" xfId="11" applyFont="1" applyFill="1" applyBorder="1" applyAlignment="1">
      <alignment vertical="center"/>
    </xf>
    <xf numFmtId="10" fontId="49" fillId="6" borderId="27" xfId="15" applyNumberFormat="1" applyFont="1" applyFill="1" applyBorder="1" applyAlignment="1">
      <alignment vertical="center"/>
    </xf>
    <xf numFmtId="4" fontId="49" fillId="6" borderId="27" xfId="11" applyNumberFormat="1" applyFont="1" applyFill="1" applyBorder="1" applyAlignment="1">
      <alignment vertical="center"/>
    </xf>
    <xf numFmtId="4" fontId="49" fillId="6" borderId="28" xfId="11" applyNumberFormat="1" applyFont="1" applyFill="1" applyBorder="1" applyAlignment="1">
      <alignment vertical="center"/>
    </xf>
    <xf numFmtId="4" fontId="47" fillId="6" borderId="27" xfId="27" applyNumberFormat="1" applyFont="1" applyFill="1" applyBorder="1" applyAlignment="1">
      <alignment horizontal="right" vertical="center"/>
    </xf>
    <xf numFmtId="10" fontId="47" fillId="6" borderId="27" xfId="15" applyNumberFormat="1" applyFont="1" applyFill="1" applyBorder="1" applyAlignment="1">
      <alignment horizontal="right" vertical="center"/>
    </xf>
    <xf numFmtId="10" fontId="47" fillId="6" borderId="28" xfId="11" applyNumberFormat="1" applyFont="1" applyFill="1" applyBorder="1" applyAlignment="1">
      <alignment horizontal="right" vertical="center"/>
    </xf>
    <xf numFmtId="181" fontId="79" fillId="6" borderId="47" xfId="0" applyNumberFormat="1" applyFont="1" applyFill="1" applyBorder="1" applyAlignment="1">
      <alignment vertical="center"/>
    </xf>
    <xf numFmtId="181" fontId="79" fillId="6" borderId="48" xfId="0" applyNumberFormat="1" applyFont="1" applyFill="1" applyBorder="1" applyAlignment="1">
      <alignment vertical="center"/>
    </xf>
    <xf numFmtId="181" fontId="79" fillId="6" borderId="49" xfId="0" applyNumberFormat="1" applyFont="1" applyFill="1" applyBorder="1" applyAlignment="1">
      <alignment vertical="center"/>
    </xf>
    <xf numFmtId="10" fontId="47" fillId="6" borderId="27" xfId="27" applyNumberFormat="1" applyFont="1" applyFill="1" applyBorder="1" applyAlignment="1">
      <alignment horizontal="center" vertical="center"/>
    </xf>
    <xf numFmtId="15" fontId="49" fillId="6" borderId="0" xfId="11" applyNumberFormat="1" applyFont="1" applyFill="1" applyAlignment="1">
      <alignment vertical="center"/>
    </xf>
    <xf numFmtId="4" fontId="79" fillId="6" borderId="0" xfId="11" applyNumberFormat="1" applyFont="1" applyFill="1" applyAlignment="1">
      <alignment horizontal="right" vertical="center"/>
    </xf>
    <xf numFmtId="4" fontId="47" fillId="6" borderId="0" xfId="11" applyNumberFormat="1" applyFont="1" applyFill="1" applyAlignment="1">
      <alignment horizontal="right" vertical="center"/>
    </xf>
    <xf numFmtId="4" fontId="49" fillId="6" borderId="0" xfId="27" applyNumberFormat="1" applyFont="1" applyFill="1" applyBorder="1" applyAlignment="1">
      <alignment horizontal="right" vertical="center"/>
    </xf>
    <xf numFmtId="4" fontId="57" fillId="6" borderId="0" xfId="27" applyNumberFormat="1" applyFont="1" applyFill="1" applyBorder="1" applyAlignment="1">
      <alignment horizontal="right" vertical="center"/>
    </xf>
    <xf numFmtId="0" fontId="74" fillId="6" borderId="56" xfId="11" quotePrefix="1" applyFont="1" applyFill="1" applyBorder="1" applyAlignment="1">
      <alignment horizontal="left" vertical="center"/>
    </xf>
    <xf numFmtId="0" fontId="74" fillId="6" borderId="57" xfId="0" applyFont="1" applyFill="1" applyBorder="1" applyAlignment="1" applyProtection="1">
      <alignment vertical="center"/>
      <protection locked="0"/>
    </xf>
    <xf numFmtId="2" fontId="75" fillId="6" borderId="44" xfId="11" applyNumberFormat="1" applyFont="1" applyFill="1" applyBorder="1" applyAlignment="1">
      <alignment horizontal="center" vertical="center"/>
    </xf>
    <xf numFmtId="4" fontId="75" fillId="6" borderId="44" xfId="11" applyNumberFormat="1" applyFont="1" applyFill="1" applyBorder="1" applyAlignment="1">
      <alignment horizontal="right" vertical="center"/>
    </xf>
    <xf numFmtId="10" fontId="49" fillId="6" borderId="18" xfId="430" applyNumberFormat="1" applyFont="1" applyFill="1" applyBorder="1" applyAlignment="1">
      <alignment horizontal="right" vertical="center"/>
    </xf>
    <xf numFmtId="0" fontId="67" fillId="6" borderId="12" xfId="11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center" vertical="center"/>
    </xf>
    <xf numFmtId="168" fontId="26" fillId="6" borderId="7" xfId="0" applyNumberFormat="1" applyFont="1" applyFill="1" applyBorder="1" applyAlignment="1">
      <alignment horizontal="center" vertical="center"/>
    </xf>
    <xf numFmtId="0" fontId="48" fillId="6" borderId="7" xfId="0" applyFont="1" applyFill="1" applyBorder="1" applyAlignment="1">
      <alignment horizontal="center" vertical="center"/>
    </xf>
    <xf numFmtId="0" fontId="48" fillId="6" borderId="7" xfId="0" applyFont="1" applyFill="1" applyBorder="1" applyAlignment="1">
      <alignment horizontal="center" vertical="center" wrapText="1"/>
    </xf>
    <xf numFmtId="49" fontId="82" fillId="0" borderId="7" xfId="482" applyFont="1" applyFill="1" applyBorder="1">
      <alignment horizontal="center" vertical="center" wrapText="1"/>
    </xf>
    <xf numFmtId="4" fontId="83" fillId="0" borderId="7" xfId="484" applyFont="1" applyFill="1" applyBorder="1" applyAlignment="1">
      <alignment horizontal="right" vertical="center" wrapText="1"/>
    </xf>
    <xf numFmtId="49" fontId="83" fillId="0" borderId="7" xfId="482" applyFont="1" applyFill="1" applyBorder="1" applyAlignment="1">
      <alignment vertical="center"/>
    </xf>
    <xf numFmtId="14" fontId="83" fillId="0" borderId="7" xfId="482" applyNumberFormat="1" applyFont="1" applyFill="1" applyBorder="1">
      <alignment horizontal="center" vertical="center" wrapText="1"/>
    </xf>
    <xf numFmtId="49" fontId="83" fillId="0" borderId="7" xfId="482" applyFont="1" applyFill="1" applyBorder="1" applyAlignment="1">
      <alignment vertical="center" wrapText="1"/>
    </xf>
    <xf numFmtId="0" fontId="83" fillId="0" borderId="7" xfId="482" applyNumberFormat="1" applyFont="1" applyFill="1" applyBorder="1">
      <alignment horizontal="center" vertical="center" wrapText="1"/>
    </xf>
    <xf numFmtId="49" fontId="83" fillId="0" borderId="7" xfId="482" applyFont="1" applyFill="1" applyBorder="1">
      <alignment horizontal="center" vertical="center" wrapText="1"/>
    </xf>
    <xf numFmtId="4" fontId="82" fillId="19" borderId="7" xfId="484" applyFont="1" applyFill="1" applyBorder="1" applyAlignment="1">
      <alignment horizontal="right" vertical="center" wrapText="1"/>
    </xf>
    <xf numFmtId="4" fontId="82" fillId="6" borderId="7" xfId="485" applyFont="1" applyFill="1" applyBorder="1" applyAlignment="1">
      <alignment horizontal="right" vertical="center" wrapText="1"/>
    </xf>
    <xf numFmtId="180" fontId="83" fillId="0" borderId="7" xfId="482" applyNumberFormat="1" applyFont="1" applyFill="1" applyBorder="1">
      <alignment horizontal="center" vertical="center" wrapText="1"/>
    </xf>
    <xf numFmtId="4" fontId="82" fillId="6" borderId="7" xfId="485" applyFont="1" applyFill="1" applyBorder="1" applyAlignment="1">
      <alignment vertical="center" wrapText="1"/>
    </xf>
    <xf numFmtId="0" fontId="49" fillId="6" borderId="0" xfId="0" applyFont="1" applyFill="1" applyAlignment="1">
      <alignment horizontal="center" vertical="center"/>
    </xf>
    <xf numFmtId="4" fontId="83" fillId="0" borderId="7" xfId="0" applyNumberFormat="1" applyFont="1" applyBorder="1" applyAlignment="1">
      <alignment horizontal="right" vertical="center"/>
    </xf>
    <xf numFmtId="4" fontId="82" fillId="6" borderId="7" xfId="485" applyFont="1" applyFill="1" applyBorder="1" applyAlignment="1">
      <alignment horizontal="left" vertical="center" wrapText="1"/>
    </xf>
    <xf numFmtId="0" fontId="82" fillId="6" borderId="7" xfId="0" applyFont="1" applyFill="1" applyBorder="1" applyAlignment="1">
      <alignment vertical="center"/>
    </xf>
    <xf numFmtId="4" fontId="82" fillId="6" borderId="7" xfId="0" applyNumberFormat="1" applyFont="1" applyFill="1" applyBorder="1" applyAlignment="1">
      <alignment vertical="center"/>
    </xf>
    <xf numFmtId="49" fontId="82" fillId="0" borderId="7" xfId="482" applyFont="1" applyFill="1" applyBorder="1" applyAlignment="1">
      <alignment horizontal="left" vertical="center"/>
    </xf>
    <xf numFmtId="4" fontId="83" fillId="6" borderId="7" xfId="484" applyFont="1" applyFill="1" applyBorder="1" applyAlignment="1">
      <alignment horizontal="right" vertical="center" wrapText="1"/>
    </xf>
    <xf numFmtId="0" fontId="83" fillId="6" borderId="11" xfId="483" applyFont="1" applyFill="1" applyBorder="1">
      <alignment horizontal="center" vertical="center" wrapText="1"/>
    </xf>
    <xf numFmtId="10" fontId="83" fillId="0" borderId="7" xfId="0" applyNumberFormat="1" applyFont="1" applyBorder="1" applyAlignment="1">
      <alignment horizontal="right" vertical="center"/>
    </xf>
    <xf numFmtId="10" fontId="82" fillId="6" borderId="7" xfId="485" applyNumberFormat="1" applyFont="1" applyFill="1" applyBorder="1" applyAlignment="1">
      <alignment horizontal="right" vertical="center" wrapText="1"/>
    </xf>
    <xf numFmtId="10" fontId="82" fillId="6" borderId="7" xfId="0" applyNumberFormat="1" applyFont="1" applyFill="1" applyBorder="1" applyAlignment="1">
      <alignment vertical="center"/>
    </xf>
    <xf numFmtId="17" fontId="49" fillId="6" borderId="44" xfId="11" applyNumberFormat="1" applyFont="1" applyFill="1" applyBorder="1" applyAlignment="1">
      <alignment horizontal="center" vertical="center" wrapText="1"/>
    </xf>
    <xf numFmtId="43" fontId="26" fillId="6" borderId="44" xfId="0" applyNumberFormat="1" applyFont="1" applyFill="1" applyBorder="1" applyAlignment="1">
      <alignment horizontal="right" vertical="center"/>
    </xf>
    <xf numFmtId="7" fontId="26" fillId="6" borderId="44" xfId="0" applyNumberFormat="1" applyFont="1" applyFill="1" applyBorder="1" applyAlignment="1">
      <alignment horizontal="right" vertical="center"/>
    </xf>
    <xf numFmtId="168" fontId="26" fillId="8" borderId="27" xfId="0" applyNumberFormat="1" applyFont="1" applyFill="1" applyBorder="1" applyAlignment="1">
      <alignment horizontal="center" vertical="center"/>
    </xf>
    <xf numFmtId="17" fontId="49" fillId="8" borderId="27" xfId="11" applyNumberFormat="1" applyFont="1" applyFill="1" applyBorder="1" applyAlignment="1">
      <alignment horizontal="center" vertical="center" wrapText="1"/>
    </xf>
    <xf numFmtId="43" fontId="26" fillId="8" borderId="27" xfId="0" applyNumberFormat="1" applyFont="1" applyFill="1" applyBorder="1" applyAlignment="1">
      <alignment horizontal="right" vertical="center"/>
    </xf>
    <xf numFmtId="10" fontId="49" fillId="6" borderId="18" xfId="11" applyNumberFormat="1" applyFont="1" applyFill="1" applyBorder="1" applyAlignment="1">
      <alignment horizontal="center" vertical="center"/>
    </xf>
    <xf numFmtId="10" fontId="49" fillId="6" borderId="24" xfId="11" applyNumberFormat="1" applyFont="1" applyFill="1" applyBorder="1" applyAlignment="1">
      <alignment horizontal="center" vertical="center"/>
    </xf>
    <xf numFmtId="10" fontId="49" fillId="6" borderId="11" xfId="11" applyNumberFormat="1" applyFont="1" applyFill="1" applyBorder="1" applyAlignment="1">
      <alignment horizontal="center" vertical="center"/>
    </xf>
    <xf numFmtId="0" fontId="69" fillId="6" borderId="0" xfId="11" applyFont="1" applyFill="1" applyAlignment="1">
      <alignment horizontal="center" vertical="center"/>
    </xf>
    <xf numFmtId="0" fontId="49" fillId="6" borderId="0" xfId="11" applyFont="1" applyFill="1" applyAlignment="1">
      <alignment horizontal="left" vertical="center" wrapText="1"/>
    </xf>
    <xf numFmtId="0" fontId="49" fillId="14" borderId="7" xfId="11" applyFont="1" applyFill="1" applyBorder="1" applyAlignment="1">
      <alignment horizontal="center" vertical="center"/>
    </xf>
    <xf numFmtId="0" fontId="29" fillId="0" borderId="5" xfId="4" applyFont="1" applyBorder="1" applyAlignment="1">
      <alignment horizontal="center" vertical="center"/>
    </xf>
    <xf numFmtId="0" fontId="29" fillId="0" borderId="10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 wrapText="1"/>
    </xf>
    <xf numFmtId="0" fontId="21" fillId="0" borderId="21" xfId="4" applyFont="1" applyBorder="1" applyAlignment="1">
      <alignment horizontal="center"/>
    </xf>
    <xf numFmtId="0" fontId="21" fillId="0" borderId="19" xfId="4" applyFont="1" applyBorder="1" applyAlignment="1">
      <alignment horizontal="center"/>
    </xf>
    <xf numFmtId="0" fontId="18" fillId="0" borderId="7" xfId="4" applyFont="1" applyBorder="1" applyAlignment="1">
      <alignment horizontal="center" vertical="center"/>
    </xf>
    <xf numFmtId="0" fontId="57" fillId="6" borderId="0" xfId="0" applyFont="1" applyFill="1" applyAlignment="1">
      <alignment horizontal="left" vertical="center"/>
    </xf>
    <xf numFmtId="10" fontId="49" fillId="6" borderId="7" xfId="11" applyNumberFormat="1" applyFont="1" applyFill="1" applyBorder="1" applyAlignment="1">
      <alignment horizontal="center" vertical="center"/>
    </xf>
    <xf numFmtId="0" fontId="49" fillId="6" borderId="7" xfId="11" applyFont="1" applyFill="1" applyBorder="1" applyAlignment="1">
      <alignment horizontal="center" vertical="center"/>
    </xf>
    <xf numFmtId="10" fontId="47" fillId="6" borderId="7" xfId="11" applyNumberFormat="1" applyFont="1" applyFill="1" applyBorder="1" applyAlignment="1">
      <alignment horizontal="center" vertical="center"/>
    </xf>
    <xf numFmtId="0" fontId="55" fillId="6" borderId="0" xfId="11" applyFont="1" applyFill="1" applyAlignment="1">
      <alignment horizontal="center" vertical="center" wrapText="1"/>
    </xf>
    <xf numFmtId="0" fontId="69" fillId="6" borderId="0" xfId="11" applyFont="1" applyFill="1" applyAlignment="1">
      <alignment horizontal="center" vertical="center" wrapText="1"/>
    </xf>
    <xf numFmtId="0" fontId="49" fillId="14" borderId="7" xfId="11" applyFont="1" applyFill="1" applyBorder="1" applyAlignment="1">
      <alignment horizontal="center" vertical="center" wrapText="1"/>
    </xf>
    <xf numFmtId="10" fontId="57" fillId="6" borderId="18" xfId="430" applyNumberFormat="1" applyFont="1" applyFill="1" applyBorder="1" applyAlignment="1">
      <alignment horizontal="right" vertical="center"/>
    </xf>
    <xf numFmtId="43" fontId="57" fillId="6" borderId="24" xfId="430" applyFont="1" applyFill="1" applyBorder="1" applyAlignment="1">
      <alignment horizontal="right" vertical="center"/>
    </xf>
    <xf numFmtId="43" fontId="57" fillId="6" borderId="11" xfId="430" applyFont="1" applyFill="1" applyBorder="1" applyAlignment="1">
      <alignment horizontal="right" vertical="center"/>
    </xf>
    <xf numFmtId="0" fontId="66" fillId="6" borderId="37" xfId="0" applyFont="1" applyFill="1" applyBorder="1" applyAlignment="1">
      <alignment horizontal="left" vertical="center"/>
    </xf>
    <xf numFmtId="0" fontId="66" fillId="6" borderId="38" xfId="0" applyFont="1" applyFill="1" applyBorder="1" applyAlignment="1">
      <alignment horizontal="left" vertical="center"/>
    </xf>
    <xf numFmtId="0" fontId="66" fillId="6" borderId="42" xfId="0" applyFont="1" applyFill="1" applyBorder="1" applyAlignment="1">
      <alignment horizontal="left" vertical="center"/>
    </xf>
    <xf numFmtId="0" fontId="26" fillId="6" borderId="39" xfId="0" applyFont="1" applyFill="1" applyBorder="1" applyAlignment="1">
      <alignment horizontal="left" vertical="center"/>
    </xf>
    <xf numFmtId="0" fontId="26" fillId="6" borderId="40" xfId="0" applyFont="1" applyFill="1" applyBorder="1" applyAlignment="1">
      <alignment horizontal="left" vertical="center"/>
    </xf>
    <xf numFmtId="0" fontId="26" fillId="6" borderId="43" xfId="0" applyFont="1" applyFill="1" applyBorder="1" applyAlignment="1">
      <alignment horizontal="left" vertical="center"/>
    </xf>
    <xf numFmtId="0" fontId="57" fillId="6" borderId="0" xfId="11" applyFont="1" applyFill="1" applyAlignment="1">
      <alignment horizontal="left" vertical="center" wrapText="1"/>
    </xf>
    <xf numFmtId="0" fontId="66" fillId="6" borderId="35" xfId="0" applyFont="1" applyFill="1" applyBorder="1" applyAlignment="1">
      <alignment horizontal="left" vertical="center"/>
    </xf>
    <xf numFmtId="0" fontId="66" fillId="6" borderId="36" xfId="0" applyFont="1" applyFill="1" applyBorder="1" applyAlignment="1">
      <alignment horizontal="left" vertical="center"/>
    </xf>
    <xf numFmtId="0" fontId="66" fillId="6" borderId="41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left" vertical="center"/>
    </xf>
    <xf numFmtId="0" fontId="26" fillId="6" borderId="42" xfId="0" applyFont="1" applyFill="1" applyBorder="1" applyAlignment="1">
      <alignment horizontal="left" vertical="center"/>
    </xf>
    <xf numFmtId="0" fontId="72" fillId="14" borderId="7" xfId="0" applyFont="1" applyFill="1" applyBorder="1" applyAlignment="1">
      <alignment horizontal="center" vertical="center" textRotation="90"/>
    </xf>
    <xf numFmtId="0" fontId="72" fillId="14" borderId="7" xfId="0" applyFont="1" applyFill="1" applyBorder="1" applyAlignment="1">
      <alignment horizontal="center" vertical="center" wrapText="1"/>
    </xf>
    <xf numFmtId="0" fontId="72" fillId="14" borderId="7" xfId="0" applyFont="1" applyFill="1" applyBorder="1" applyAlignment="1">
      <alignment horizontal="center" vertical="center"/>
    </xf>
    <xf numFmtId="0" fontId="48" fillId="6" borderId="7" xfId="11" applyFont="1" applyFill="1" applyBorder="1" applyAlignment="1">
      <alignment horizontal="center" vertical="center"/>
    </xf>
    <xf numFmtId="0" fontId="57" fillId="6" borderId="7" xfId="11" applyFont="1" applyFill="1" applyBorder="1" applyAlignment="1">
      <alignment horizontal="center" vertical="center"/>
    </xf>
    <xf numFmtId="180" fontId="49" fillId="14" borderId="7" xfId="11" applyNumberFormat="1" applyFont="1" applyFill="1" applyBorder="1" applyAlignment="1">
      <alignment horizontal="center" vertical="center"/>
    </xf>
    <xf numFmtId="170" fontId="11" fillId="0" borderId="9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0" borderId="7" xfId="0" applyFont="1" applyBorder="1" applyAlignment="1" applyProtection="1">
      <alignment horizontal="left" vertical="center" wrapText="1"/>
      <protection locked="0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horizontal="left" vertical="center"/>
    </xf>
    <xf numFmtId="0" fontId="32" fillId="0" borderId="5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" xfId="0" applyFont="1" applyBorder="1" applyAlignment="1">
      <alignment horizontal="left"/>
    </xf>
    <xf numFmtId="0" fontId="32" fillId="0" borderId="16" xfId="0" applyFont="1" applyBorder="1" applyAlignment="1">
      <alignment horizontal="left"/>
    </xf>
    <xf numFmtId="0" fontId="32" fillId="0" borderId="10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55" fillId="22" borderId="60" xfId="0" applyFont="1" applyFill="1" applyBorder="1" applyAlignment="1">
      <alignment horizontal="center" vertical="center"/>
    </xf>
    <xf numFmtId="4" fontId="75" fillId="6" borderId="27" xfId="11" applyNumberFormat="1" applyFont="1" applyFill="1" applyBorder="1" applyAlignment="1">
      <alignment horizontal="center" vertical="center"/>
    </xf>
    <xf numFmtId="4" fontId="75" fillId="6" borderId="51" xfId="11" applyNumberFormat="1" applyFont="1" applyFill="1" applyBorder="1" applyAlignment="1">
      <alignment horizontal="center" vertical="center"/>
    </xf>
    <xf numFmtId="4" fontId="57" fillId="6" borderId="44" xfId="0" applyNumberFormat="1" applyFont="1" applyFill="1" applyBorder="1" applyAlignment="1">
      <alignment horizontal="center" vertical="center"/>
    </xf>
    <xf numFmtId="4" fontId="49" fillId="6" borderId="27" xfId="0" applyNumberFormat="1" applyFont="1" applyFill="1" applyBorder="1" applyAlignment="1">
      <alignment horizontal="center" vertical="center"/>
    </xf>
    <xf numFmtId="4" fontId="77" fillId="6" borderId="27" xfId="11" applyNumberFormat="1" applyFont="1" applyFill="1" applyBorder="1" applyAlignment="1">
      <alignment horizontal="center" vertical="center"/>
    </xf>
    <xf numFmtId="4" fontId="77" fillId="6" borderId="51" xfId="11" applyNumberFormat="1" applyFont="1" applyFill="1" applyBorder="1" applyAlignment="1">
      <alignment horizontal="center" vertical="center"/>
    </xf>
    <xf numFmtId="4" fontId="76" fillId="6" borderId="27" xfId="11" applyNumberFormat="1" applyFont="1" applyFill="1" applyBorder="1" applyAlignment="1">
      <alignment horizontal="center" vertical="center"/>
    </xf>
    <xf numFmtId="4" fontId="76" fillId="6" borderId="51" xfId="11" applyNumberFormat="1" applyFont="1" applyFill="1" applyBorder="1" applyAlignment="1">
      <alignment horizontal="center" vertical="center"/>
    </xf>
    <xf numFmtId="4" fontId="49" fillId="6" borderId="46" xfId="0" applyNumberFormat="1" applyFont="1" applyFill="1" applyBorder="1" applyAlignment="1">
      <alignment horizontal="center" vertical="center"/>
    </xf>
    <xf numFmtId="4" fontId="75" fillId="6" borderId="27" xfId="0" applyNumberFormat="1" applyFont="1" applyFill="1" applyBorder="1" applyAlignment="1" applyProtection="1">
      <alignment horizontal="center" vertical="center"/>
      <protection locked="0"/>
    </xf>
    <xf numFmtId="4" fontId="75" fillId="6" borderId="51" xfId="0" applyNumberFormat="1" applyFont="1" applyFill="1" applyBorder="1" applyAlignment="1" applyProtection="1">
      <alignment horizontal="center" vertical="center"/>
      <protection locked="0"/>
    </xf>
    <xf numFmtId="4" fontId="78" fillId="6" borderId="27" xfId="11" applyNumberFormat="1" applyFont="1" applyFill="1" applyBorder="1" applyAlignment="1">
      <alignment horizontal="center" vertical="center"/>
    </xf>
    <xf numFmtId="4" fontId="78" fillId="6" borderId="51" xfId="11" applyNumberFormat="1" applyFont="1" applyFill="1" applyBorder="1" applyAlignment="1">
      <alignment horizontal="center" vertical="center"/>
    </xf>
    <xf numFmtId="4" fontId="76" fillId="6" borderId="27" xfId="0" applyNumberFormat="1" applyFont="1" applyFill="1" applyBorder="1" applyAlignment="1" applyProtection="1">
      <alignment horizontal="center" vertical="center"/>
      <protection locked="0"/>
    </xf>
    <xf numFmtId="4" fontId="76" fillId="6" borderId="51" xfId="0" applyNumberFormat="1" applyFont="1" applyFill="1" applyBorder="1" applyAlignment="1" applyProtection="1">
      <alignment horizontal="center" vertical="center"/>
      <protection locked="0"/>
    </xf>
    <xf numFmtId="4" fontId="75" fillId="6" borderId="28" xfId="11" applyNumberFormat="1" applyFont="1" applyFill="1" applyBorder="1" applyAlignment="1">
      <alignment horizontal="center" vertical="center"/>
    </xf>
    <xf numFmtId="4" fontId="75" fillId="6" borderId="53" xfId="11" applyNumberFormat="1" applyFont="1" applyFill="1" applyBorder="1" applyAlignment="1">
      <alignment horizontal="center" vertical="center"/>
    </xf>
    <xf numFmtId="4" fontId="49" fillId="6" borderId="28" xfId="0" applyNumberFormat="1" applyFont="1" applyFill="1" applyBorder="1" applyAlignment="1">
      <alignment horizontal="center" vertical="center"/>
    </xf>
    <xf numFmtId="2" fontId="57" fillId="6" borderId="0" xfId="11" applyNumberFormat="1" applyFont="1" applyFill="1" applyAlignment="1">
      <alignment horizontal="center" vertical="center"/>
    </xf>
    <xf numFmtId="4" fontId="57" fillId="6" borderId="7" xfId="27" applyNumberFormat="1" applyFont="1" applyFill="1" applyBorder="1" applyAlignment="1">
      <alignment horizontal="center" vertical="center"/>
    </xf>
    <xf numFmtId="2" fontId="49" fillId="6" borderId="0" xfId="11" applyNumberFormat="1" applyFont="1" applyFill="1" applyAlignment="1">
      <alignment horizontal="center" vertical="center"/>
    </xf>
    <xf numFmtId="4" fontId="49" fillId="6" borderId="7" xfId="27" applyNumberFormat="1" applyFont="1" applyFill="1" applyBorder="1" applyAlignment="1">
      <alignment horizontal="center" vertical="center"/>
    </xf>
    <xf numFmtId="4" fontId="49" fillId="6" borderId="0" xfId="11" applyNumberFormat="1" applyFont="1" applyFill="1" applyAlignment="1">
      <alignment horizontal="center" vertical="center"/>
    </xf>
    <xf numFmtId="0" fontId="49" fillId="6" borderId="0" xfId="0" applyFont="1" applyFill="1" applyBorder="1" applyAlignment="1">
      <alignment horizontal="left" vertical="center"/>
    </xf>
    <xf numFmtId="0" fontId="55" fillId="22" borderId="59" xfId="0" applyFont="1" applyFill="1" applyBorder="1" applyAlignment="1">
      <alignment horizontal="center" vertical="center"/>
    </xf>
    <xf numFmtId="0" fontId="55" fillId="22" borderId="61" xfId="0" applyFont="1" applyFill="1" applyBorder="1" applyAlignment="1">
      <alignment horizontal="center" vertical="center"/>
    </xf>
    <xf numFmtId="0" fontId="55" fillId="22" borderId="59" xfId="11" applyFont="1" applyFill="1" applyBorder="1" applyAlignment="1">
      <alignment horizontal="center" vertical="center"/>
    </xf>
    <xf numFmtId="0" fontId="55" fillId="22" borderId="60" xfId="11" applyFont="1" applyFill="1" applyBorder="1" applyAlignment="1">
      <alignment horizontal="center" vertical="center"/>
    </xf>
    <xf numFmtId="0" fontId="55" fillId="22" borderId="61" xfId="11" applyFont="1" applyFill="1" applyBorder="1" applyAlignment="1">
      <alignment horizontal="center" vertical="center"/>
    </xf>
    <xf numFmtId="4" fontId="75" fillId="6" borderId="44" xfId="11" applyNumberFormat="1" applyFont="1" applyFill="1" applyBorder="1" applyAlignment="1">
      <alignment horizontal="center" vertical="center"/>
    </xf>
    <xf numFmtId="4" fontId="75" fillId="6" borderId="62" xfId="11" applyNumberFormat="1" applyFont="1" applyFill="1" applyBorder="1" applyAlignment="1">
      <alignment horizontal="center" vertical="center"/>
    </xf>
    <xf numFmtId="0" fontId="57" fillId="21" borderId="63" xfId="11" applyFont="1" applyFill="1" applyBorder="1" applyAlignment="1">
      <alignment horizontal="center" vertical="center"/>
    </xf>
    <xf numFmtId="0" fontId="57" fillId="21" borderId="64" xfId="11" applyFont="1" applyFill="1" applyBorder="1" applyAlignment="1">
      <alignment horizontal="center" vertical="center"/>
    </xf>
    <xf numFmtId="0" fontId="57" fillId="22" borderId="64" xfId="11" applyFont="1" applyFill="1" applyBorder="1" applyAlignment="1">
      <alignment horizontal="center" vertical="center"/>
    </xf>
    <xf numFmtId="0" fontId="57" fillId="22" borderId="65" xfId="11" applyFont="1" applyFill="1" applyBorder="1" applyAlignment="1">
      <alignment horizontal="center" vertical="center"/>
    </xf>
    <xf numFmtId="0" fontId="57" fillId="21" borderId="66" xfId="11" applyFont="1" applyFill="1" applyBorder="1" applyAlignment="1">
      <alignment horizontal="center" vertical="center"/>
    </xf>
    <xf numFmtId="0" fontId="57" fillId="21" borderId="67" xfId="11" applyFont="1" applyFill="1" applyBorder="1" applyAlignment="1">
      <alignment horizontal="center" vertical="center"/>
    </xf>
    <xf numFmtId="0" fontId="57" fillId="22" borderId="67" xfId="11" applyFont="1" applyFill="1" applyBorder="1" applyAlignment="1">
      <alignment horizontal="center" vertical="center"/>
    </xf>
    <xf numFmtId="2" fontId="57" fillId="22" borderId="67" xfId="11" applyNumberFormat="1" applyFont="1" applyFill="1" applyBorder="1" applyAlignment="1">
      <alignment horizontal="center" vertical="center"/>
    </xf>
    <xf numFmtId="4" fontId="57" fillId="22" borderId="68" xfId="11" applyNumberFormat="1" applyFont="1" applyFill="1" applyBorder="1" applyAlignment="1">
      <alignment horizontal="center" vertical="center"/>
    </xf>
    <xf numFmtId="0" fontId="55" fillId="21" borderId="59" xfId="11" applyFont="1" applyFill="1" applyBorder="1" applyAlignment="1">
      <alignment horizontal="center" vertical="center"/>
    </xf>
    <xf numFmtId="0" fontId="55" fillId="21" borderId="60" xfId="11" applyFont="1" applyFill="1" applyBorder="1" applyAlignment="1">
      <alignment horizontal="center" vertical="center"/>
    </xf>
    <xf numFmtId="0" fontId="55" fillId="21" borderId="61" xfId="11" applyFont="1" applyFill="1" applyBorder="1" applyAlignment="1">
      <alignment horizontal="center" vertical="center"/>
    </xf>
    <xf numFmtId="0" fontId="74" fillId="0" borderId="56" xfId="11" quotePrefix="1" applyFont="1" applyBorder="1" applyAlignment="1">
      <alignment horizontal="left" vertical="center"/>
    </xf>
    <xf numFmtId="0" fontId="74" fillId="0" borderId="57" xfId="0" applyFont="1" applyBorder="1" applyAlignment="1" applyProtection="1">
      <alignment vertical="center"/>
      <protection locked="0"/>
    </xf>
    <xf numFmtId="2" fontId="75" fillId="0" borderId="44" xfId="11" applyNumberFormat="1" applyFont="1" applyBorder="1" applyAlignment="1">
      <alignment horizontal="center" vertical="center"/>
    </xf>
    <xf numFmtId="4" fontId="75" fillId="0" borderId="44" xfId="11" applyNumberFormat="1" applyFont="1" applyBorder="1" applyAlignment="1">
      <alignment horizontal="right" vertical="center"/>
    </xf>
    <xf numFmtId="4" fontId="75" fillId="0" borderId="62" xfId="11" applyNumberFormat="1" applyFont="1" applyBorder="1" applyAlignment="1">
      <alignment horizontal="right" vertical="center"/>
    </xf>
    <xf numFmtId="10" fontId="79" fillId="6" borderId="44" xfId="11" applyNumberFormat="1" applyFont="1" applyFill="1" applyBorder="1" applyAlignment="1">
      <alignment horizontal="right" vertical="center"/>
    </xf>
    <xf numFmtId="4" fontId="47" fillId="6" borderId="44" xfId="11" applyNumberFormat="1" applyFont="1" applyFill="1" applyBorder="1" applyAlignment="1">
      <alignment horizontal="right" vertical="center"/>
    </xf>
    <xf numFmtId="4" fontId="79" fillId="6" borderId="44" xfId="11" applyNumberFormat="1" applyFont="1" applyFill="1" applyBorder="1" applyAlignment="1">
      <alignment horizontal="right" vertical="center"/>
    </xf>
    <xf numFmtId="0" fontId="48" fillId="6" borderId="0" xfId="11" applyFont="1" applyFill="1" applyAlignment="1">
      <alignment horizontal="center" vertical="center"/>
    </xf>
    <xf numFmtId="17" fontId="48" fillId="14" borderId="63" xfId="11" applyNumberFormat="1" applyFont="1" applyFill="1" applyBorder="1" applyAlignment="1">
      <alignment horizontal="center" vertical="center"/>
    </xf>
    <xf numFmtId="17" fontId="48" fillId="14" borderId="65" xfId="11" applyNumberFormat="1" applyFont="1" applyFill="1" applyBorder="1" applyAlignment="1">
      <alignment horizontal="center" vertical="center"/>
    </xf>
    <xf numFmtId="17" fontId="48" fillId="6" borderId="0" xfId="11" applyNumberFormat="1" applyFont="1" applyFill="1" applyAlignment="1">
      <alignment horizontal="center" vertical="center"/>
    </xf>
    <xf numFmtId="15" fontId="48" fillId="14" borderId="69" xfId="11" applyNumberFormat="1" applyFont="1" applyFill="1" applyBorder="1" applyAlignment="1">
      <alignment horizontal="center" vertical="center"/>
    </xf>
    <xf numFmtId="15" fontId="48" fillId="14" borderId="70" xfId="11" applyNumberFormat="1" applyFont="1" applyFill="1" applyBorder="1" applyAlignment="1">
      <alignment horizontal="center" vertical="center"/>
    </xf>
    <xf numFmtId="15" fontId="48" fillId="6" borderId="0" xfId="11" applyNumberFormat="1" applyFont="1" applyFill="1" applyAlignment="1">
      <alignment horizontal="center" vertical="center"/>
    </xf>
    <xf numFmtId="4" fontId="48" fillId="6" borderId="0" xfId="11" applyNumberFormat="1" applyFont="1" applyFill="1" applyAlignment="1">
      <alignment vertical="center"/>
    </xf>
    <xf numFmtId="4" fontId="48" fillId="14" borderId="66" xfId="11" applyNumberFormat="1" applyFont="1" applyFill="1" applyBorder="1" applyAlignment="1">
      <alignment horizontal="center" vertical="center"/>
    </xf>
    <xf numFmtId="0" fontId="48" fillId="14" borderId="68" xfId="11" applyFont="1" applyFill="1" applyBorder="1" applyAlignment="1">
      <alignment horizontal="center" vertical="center"/>
    </xf>
    <xf numFmtId="0" fontId="48" fillId="6" borderId="0" xfId="11" applyFont="1" applyFill="1" applyAlignment="1">
      <alignment vertical="center"/>
    </xf>
    <xf numFmtId="17" fontId="48" fillId="13" borderId="45" xfId="11" applyNumberFormat="1" applyFont="1" applyFill="1" applyBorder="1" applyAlignment="1">
      <alignment horizontal="center" vertical="center"/>
    </xf>
    <xf numFmtId="0" fontId="48" fillId="13" borderId="45" xfId="11" applyFont="1" applyFill="1" applyBorder="1" applyAlignment="1">
      <alignment horizontal="center" vertical="center"/>
    </xf>
    <xf numFmtId="17" fontId="48" fillId="13" borderId="73" xfId="11" applyNumberFormat="1" applyFont="1" applyFill="1" applyBorder="1" applyAlignment="1">
      <alignment horizontal="center" vertical="center"/>
    </xf>
    <xf numFmtId="0" fontId="48" fillId="13" borderId="74" xfId="11" applyFont="1" applyFill="1" applyBorder="1" applyAlignment="1">
      <alignment horizontal="center" vertical="center"/>
    </xf>
    <xf numFmtId="0" fontId="48" fillId="22" borderId="63" xfId="11" applyFont="1" applyFill="1" applyBorder="1" applyAlignment="1">
      <alignment horizontal="center" vertical="center"/>
    </xf>
    <xf numFmtId="0" fontId="48" fillId="22" borderId="64" xfId="11" applyFont="1" applyFill="1" applyBorder="1" applyAlignment="1">
      <alignment horizontal="center" vertical="center"/>
    </xf>
    <xf numFmtId="0" fontId="48" fillId="22" borderId="65" xfId="11" applyFont="1" applyFill="1" applyBorder="1" applyAlignment="1">
      <alignment horizontal="center" vertical="center"/>
    </xf>
    <xf numFmtId="0" fontId="48" fillId="22" borderId="69" xfId="11" applyFont="1" applyFill="1" applyBorder="1" applyAlignment="1">
      <alignment horizontal="center" vertical="center"/>
    </xf>
    <xf numFmtId="0" fontId="48" fillId="22" borderId="7" xfId="11" applyFont="1" applyFill="1" applyBorder="1" applyAlignment="1">
      <alignment horizontal="center" vertical="center"/>
    </xf>
    <xf numFmtId="0" fontId="48" fillId="22" borderId="70" xfId="11" applyFont="1" applyFill="1" applyBorder="1" applyAlignment="1">
      <alignment horizontal="center" vertical="center"/>
    </xf>
    <xf numFmtId="0" fontId="48" fillId="22" borderId="66" xfId="11" applyFont="1" applyFill="1" applyBorder="1" applyAlignment="1">
      <alignment horizontal="center" vertical="center"/>
    </xf>
    <xf numFmtId="0" fontId="48" fillId="22" borderId="67" xfId="11" applyFont="1" applyFill="1" applyBorder="1" applyAlignment="1">
      <alignment horizontal="center" vertical="center"/>
    </xf>
    <xf numFmtId="0" fontId="48" fillId="22" borderId="67" xfId="11" applyFont="1" applyFill="1" applyBorder="1" applyAlignment="1">
      <alignment horizontal="center" vertical="center"/>
    </xf>
    <xf numFmtId="2" fontId="48" fillId="22" borderId="67" xfId="11" applyNumberFormat="1" applyFont="1" applyFill="1" applyBorder="1" applyAlignment="1">
      <alignment horizontal="center" vertical="center"/>
    </xf>
    <xf numFmtId="4" fontId="48" fillId="22" borderId="68" xfId="11" applyNumberFormat="1" applyFont="1" applyFill="1" applyBorder="1" applyAlignment="1">
      <alignment horizontal="center" vertical="center"/>
    </xf>
    <xf numFmtId="17" fontId="48" fillId="22" borderId="63" xfId="11" applyNumberFormat="1" applyFont="1" applyFill="1" applyBorder="1" applyAlignment="1">
      <alignment horizontal="center" vertical="center"/>
    </xf>
    <xf numFmtId="17" fontId="48" fillId="22" borderId="65" xfId="11" applyNumberFormat="1" applyFont="1" applyFill="1" applyBorder="1" applyAlignment="1">
      <alignment horizontal="center" vertical="center"/>
    </xf>
    <xf numFmtId="15" fontId="48" fillId="22" borderId="69" xfId="11" applyNumberFormat="1" applyFont="1" applyFill="1" applyBorder="1" applyAlignment="1">
      <alignment horizontal="center" vertical="center"/>
    </xf>
    <xf numFmtId="15" fontId="48" fillId="22" borderId="70" xfId="11" applyNumberFormat="1" applyFont="1" applyFill="1" applyBorder="1" applyAlignment="1">
      <alignment horizontal="center" vertical="center"/>
    </xf>
    <xf numFmtId="4" fontId="48" fillId="22" borderId="66" xfId="11" applyNumberFormat="1" applyFont="1" applyFill="1" applyBorder="1" applyAlignment="1">
      <alignment horizontal="center" vertical="center"/>
    </xf>
    <xf numFmtId="0" fontId="48" fillId="22" borderId="68" xfId="11" applyFont="1" applyFill="1" applyBorder="1" applyAlignment="1">
      <alignment horizontal="center" vertical="center"/>
    </xf>
    <xf numFmtId="2" fontId="48" fillId="22" borderId="68" xfId="11" applyNumberFormat="1" applyFont="1" applyFill="1" applyBorder="1" applyAlignment="1">
      <alignment horizontal="center" vertical="center"/>
    </xf>
    <xf numFmtId="17" fontId="48" fillId="22" borderId="71" xfId="11" applyNumberFormat="1" applyFont="1" applyFill="1" applyBorder="1" applyAlignment="1">
      <alignment horizontal="center" vertical="center"/>
    </xf>
    <xf numFmtId="0" fontId="48" fillId="22" borderId="72" xfId="11" applyFont="1" applyFill="1" applyBorder="1" applyAlignment="1">
      <alignment horizontal="center" vertical="center"/>
    </xf>
    <xf numFmtId="17" fontId="48" fillId="22" borderId="71" xfId="11" applyNumberFormat="1" applyFont="1" applyFill="1" applyBorder="1" applyAlignment="1">
      <alignment horizontal="center" vertical="center" wrapText="1"/>
    </xf>
    <xf numFmtId="17" fontId="48" fillId="22" borderId="72" xfId="11" applyNumberFormat="1" applyFont="1" applyFill="1" applyBorder="1" applyAlignment="1">
      <alignment horizontal="center" vertical="center" wrapText="1"/>
    </xf>
    <xf numFmtId="0" fontId="57" fillId="14" borderId="63" xfId="11" applyFont="1" applyFill="1" applyBorder="1" applyAlignment="1">
      <alignment horizontal="center" vertical="center"/>
    </xf>
    <xf numFmtId="0" fontId="57" fillId="14" borderId="64" xfId="11" applyFont="1" applyFill="1" applyBorder="1" applyAlignment="1">
      <alignment horizontal="center" vertical="center"/>
    </xf>
    <xf numFmtId="0" fontId="57" fillId="14" borderId="65" xfId="11" applyFont="1" applyFill="1" applyBorder="1" applyAlignment="1">
      <alignment horizontal="center" vertical="center"/>
    </xf>
    <xf numFmtId="0" fontId="57" fillId="14" borderId="66" xfId="11" applyFont="1" applyFill="1" applyBorder="1" applyAlignment="1">
      <alignment horizontal="center" vertical="center"/>
    </xf>
    <xf numFmtId="0" fontId="57" fillId="14" borderId="67" xfId="11" applyFont="1" applyFill="1" applyBorder="1" applyAlignment="1">
      <alignment horizontal="center" vertical="center"/>
    </xf>
    <xf numFmtId="0" fontId="57" fillId="14" borderId="68" xfId="11" applyFont="1" applyFill="1" applyBorder="1" applyAlignment="1">
      <alignment horizontal="center" vertical="center"/>
    </xf>
    <xf numFmtId="17" fontId="57" fillId="6" borderId="0" xfId="11" applyNumberFormat="1" applyFont="1" applyFill="1" applyAlignment="1">
      <alignment horizontal="center" vertical="center" wrapText="1"/>
    </xf>
    <xf numFmtId="17" fontId="57" fillId="6" borderId="0" xfId="11" applyNumberFormat="1" applyFont="1" applyFill="1" applyAlignment="1">
      <alignment horizontal="center" vertical="center"/>
    </xf>
    <xf numFmtId="17" fontId="57" fillId="16" borderId="63" xfId="11" applyNumberFormat="1" applyFont="1" applyFill="1" applyBorder="1" applyAlignment="1">
      <alignment horizontal="center" vertical="center"/>
    </xf>
    <xf numFmtId="17" fontId="57" fillId="16" borderId="64" xfId="11" applyNumberFormat="1" applyFont="1" applyFill="1" applyBorder="1" applyAlignment="1">
      <alignment horizontal="center" vertical="center"/>
    </xf>
    <xf numFmtId="17" fontId="57" fillId="16" borderId="65" xfId="11" applyNumberFormat="1" applyFont="1" applyFill="1" applyBorder="1" applyAlignment="1">
      <alignment horizontal="center" vertical="center"/>
    </xf>
    <xf numFmtId="4" fontId="57" fillId="16" borderId="66" xfId="11" applyNumberFormat="1" applyFont="1" applyFill="1" applyBorder="1" applyAlignment="1">
      <alignment horizontal="center" vertical="center"/>
    </xf>
    <xf numFmtId="0" fontId="57" fillId="16" borderId="67" xfId="11" applyFont="1" applyFill="1" applyBorder="1" applyAlignment="1">
      <alignment horizontal="center" vertical="center"/>
    </xf>
    <xf numFmtId="0" fontId="57" fillId="16" borderId="68" xfId="11" applyFont="1" applyFill="1" applyBorder="1" applyAlignment="1">
      <alignment horizontal="center" vertical="center"/>
    </xf>
    <xf numFmtId="4" fontId="49" fillId="16" borderId="44" xfId="11" applyNumberFormat="1" applyFont="1" applyFill="1" applyBorder="1" applyAlignment="1">
      <alignment horizontal="right" vertical="center"/>
    </xf>
    <xf numFmtId="181" fontId="49" fillId="16" borderId="44" xfId="0" applyNumberFormat="1" applyFont="1" applyFill="1" applyBorder="1" applyAlignment="1">
      <alignment vertical="center"/>
    </xf>
    <xf numFmtId="10" fontId="49" fillId="16" borderId="44" xfId="11" applyNumberFormat="1" applyFont="1" applyFill="1" applyBorder="1" applyAlignment="1">
      <alignment horizontal="right" vertical="center"/>
    </xf>
    <xf numFmtId="4" fontId="49" fillId="16" borderId="27" xfId="11" applyNumberFormat="1" applyFont="1" applyFill="1" applyBorder="1" applyAlignment="1">
      <alignment horizontal="right" vertical="center"/>
    </xf>
    <xf numFmtId="181" fontId="49" fillId="16" borderId="27" xfId="0" applyNumberFormat="1" applyFont="1" applyFill="1" applyBorder="1" applyAlignment="1">
      <alignment vertical="center"/>
    </xf>
    <xf numFmtId="10" fontId="49" fillId="16" borderId="27" xfId="11" applyNumberFormat="1" applyFont="1" applyFill="1" applyBorder="1" applyAlignment="1">
      <alignment horizontal="right" vertical="center"/>
    </xf>
    <xf numFmtId="4" fontId="49" fillId="16" borderId="46" xfId="11" applyNumberFormat="1" applyFont="1" applyFill="1" applyBorder="1" applyAlignment="1">
      <alignment horizontal="right" vertical="center"/>
    </xf>
    <xf numFmtId="181" fontId="49" fillId="16" borderId="46" xfId="0" applyNumberFormat="1" applyFont="1" applyFill="1" applyBorder="1" applyAlignment="1">
      <alignment vertical="center"/>
    </xf>
    <xf numFmtId="10" fontId="49" fillId="16" borderId="46" xfId="11" applyNumberFormat="1" applyFont="1" applyFill="1" applyBorder="1" applyAlignment="1">
      <alignment horizontal="right" vertical="center"/>
    </xf>
    <xf numFmtId="4" fontId="49" fillId="16" borderId="28" xfId="11" applyNumberFormat="1" applyFont="1" applyFill="1" applyBorder="1" applyAlignment="1">
      <alignment horizontal="right" vertical="center"/>
    </xf>
    <xf numFmtId="181" fontId="49" fillId="16" borderId="28" xfId="0" applyNumberFormat="1" applyFont="1" applyFill="1" applyBorder="1" applyAlignment="1">
      <alignment vertical="center"/>
    </xf>
    <xf numFmtId="10" fontId="49" fillId="16" borderId="28" xfId="11" applyNumberFormat="1" applyFont="1" applyFill="1" applyBorder="1" applyAlignment="1">
      <alignment horizontal="right" vertical="center"/>
    </xf>
    <xf numFmtId="4" fontId="49" fillId="16" borderId="26" xfId="11" applyNumberFormat="1" applyFont="1" applyFill="1" applyBorder="1" applyAlignment="1">
      <alignment horizontal="right" vertical="center"/>
    </xf>
    <xf numFmtId="4" fontId="57" fillId="16" borderId="26" xfId="27" applyNumberFormat="1" applyFont="1" applyFill="1" applyBorder="1" applyAlignment="1">
      <alignment horizontal="right" vertical="center"/>
    </xf>
    <xf numFmtId="10" fontId="49" fillId="16" borderId="18" xfId="11" applyNumberFormat="1" applyFont="1" applyFill="1" applyBorder="1" applyAlignment="1">
      <alignment horizontal="center" vertical="center"/>
    </xf>
    <xf numFmtId="4" fontId="49" fillId="16" borderId="27" xfId="27" applyNumberFormat="1" applyFont="1" applyFill="1" applyBorder="1" applyAlignment="1">
      <alignment horizontal="right" vertical="center"/>
    </xf>
    <xf numFmtId="10" fontId="49" fillId="16" borderId="24" xfId="11" applyNumberFormat="1" applyFont="1" applyFill="1" applyBorder="1" applyAlignment="1">
      <alignment horizontal="center" vertical="center"/>
    </xf>
    <xf numFmtId="4" fontId="57" fillId="16" borderId="27" xfId="27" applyNumberFormat="1" applyFont="1" applyFill="1" applyBorder="1" applyAlignment="1">
      <alignment horizontal="right" vertical="center"/>
    </xf>
    <xf numFmtId="10" fontId="49" fillId="16" borderId="28" xfId="15" applyNumberFormat="1" applyFont="1" applyFill="1" applyBorder="1" applyAlignment="1">
      <alignment horizontal="right" vertical="center"/>
    </xf>
    <xf numFmtId="10" fontId="49" fillId="16" borderId="11" xfId="11" applyNumberFormat="1" applyFont="1" applyFill="1" applyBorder="1" applyAlignment="1">
      <alignment horizontal="center" vertical="center"/>
    </xf>
    <xf numFmtId="0" fontId="57" fillId="23" borderId="63" xfId="11" applyFont="1" applyFill="1" applyBorder="1" applyAlignment="1">
      <alignment horizontal="center" vertical="center"/>
    </xf>
    <xf numFmtId="0" fontId="57" fillId="23" borderId="64" xfId="11" applyFont="1" applyFill="1" applyBorder="1" applyAlignment="1">
      <alignment horizontal="center" vertical="center"/>
    </xf>
    <xf numFmtId="0" fontId="57" fillId="23" borderId="66" xfId="11" applyFont="1" applyFill="1" applyBorder="1" applyAlignment="1">
      <alignment horizontal="center" vertical="center"/>
    </xf>
    <xf numFmtId="0" fontId="57" fillId="23" borderId="67" xfId="11" applyFont="1" applyFill="1" applyBorder="1" applyAlignment="1">
      <alignment horizontal="center" vertical="center"/>
    </xf>
    <xf numFmtId="0" fontId="57" fillId="22" borderId="63" xfId="11" applyFont="1" applyFill="1" applyBorder="1" applyAlignment="1">
      <alignment horizontal="center" vertical="center"/>
    </xf>
    <xf numFmtId="0" fontId="57" fillId="22" borderId="66" xfId="11" applyFont="1" applyFill="1" applyBorder="1" applyAlignment="1">
      <alignment horizontal="center" vertical="center"/>
    </xf>
    <xf numFmtId="0" fontId="57" fillId="22" borderId="67" xfId="11" applyFont="1" applyFill="1" applyBorder="1" applyAlignment="1">
      <alignment horizontal="center" vertical="center"/>
    </xf>
    <xf numFmtId="17" fontId="57" fillId="22" borderId="63" xfId="11" applyNumberFormat="1" applyFont="1" applyFill="1" applyBorder="1" applyAlignment="1">
      <alignment horizontal="center" vertical="center" wrapText="1"/>
    </xf>
    <xf numFmtId="17" fontId="57" fillId="22" borderId="64" xfId="11" applyNumberFormat="1" applyFont="1" applyFill="1" applyBorder="1" applyAlignment="1">
      <alignment horizontal="center" vertical="center" wrapText="1"/>
    </xf>
    <xf numFmtId="17" fontId="57" fillId="22" borderId="65" xfId="11" applyNumberFormat="1" applyFont="1" applyFill="1" applyBorder="1" applyAlignment="1">
      <alignment horizontal="center" vertical="center" wrapText="1"/>
    </xf>
    <xf numFmtId="4" fontId="57" fillId="22" borderId="66" xfId="11" applyNumberFormat="1" applyFont="1" applyFill="1" applyBorder="1" applyAlignment="1">
      <alignment horizontal="center" vertical="center"/>
    </xf>
    <xf numFmtId="0" fontId="57" fillId="22" borderId="68" xfId="11" applyFont="1" applyFill="1" applyBorder="1" applyAlignment="1">
      <alignment horizontal="center" vertical="center"/>
    </xf>
    <xf numFmtId="17" fontId="57" fillId="22" borderId="63" xfId="11" applyNumberFormat="1" applyFont="1" applyFill="1" applyBorder="1" applyAlignment="1">
      <alignment horizontal="center" vertical="center"/>
    </xf>
    <xf numFmtId="17" fontId="57" fillId="22" borderId="64" xfId="11" applyNumberFormat="1" applyFont="1" applyFill="1" applyBorder="1" applyAlignment="1">
      <alignment horizontal="center" vertical="center"/>
    </xf>
    <xf numFmtId="17" fontId="57" fillId="22" borderId="65" xfId="11" applyNumberFormat="1" applyFont="1" applyFill="1" applyBorder="1" applyAlignment="1">
      <alignment horizontal="center" vertical="center"/>
    </xf>
    <xf numFmtId="0" fontId="55" fillId="21" borderId="59" xfId="11" applyFont="1" applyFill="1" applyBorder="1" applyAlignment="1">
      <alignment horizontal="center" vertical="center" wrapText="1"/>
    </xf>
    <xf numFmtId="0" fontId="55" fillId="21" borderId="60" xfId="11" applyFont="1" applyFill="1" applyBorder="1" applyAlignment="1">
      <alignment horizontal="center" vertical="center" wrapText="1"/>
    </xf>
    <xf numFmtId="0" fontId="55" fillId="21" borderId="61" xfId="11" applyFont="1" applyFill="1" applyBorder="1" applyAlignment="1">
      <alignment horizontal="center" vertical="center" wrapText="1"/>
    </xf>
    <xf numFmtId="168" fontId="26" fillId="16" borderId="27" xfId="0" applyNumberFormat="1" applyFont="1" applyFill="1" applyBorder="1" applyAlignment="1">
      <alignment horizontal="center" vertical="center"/>
    </xf>
    <xf numFmtId="180" fontId="49" fillId="16" borderId="27" xfId="11" quotePrefix="1" applyNumberFormat="1" applyFont="1" applyFill="1" applyBorder="1" applyAlignment="1">
      <alignment horizontal="center" vertical="center" wrapText="1"/>
    </xf>
    <xf numFmtId="4" fontId="26" fillId="16" borderId="27" xfId="0" applyNumberFormat="1" applyFont="1" applyFill="1" applyBorder="1" applyAlignment="1">
      <alignment horizontal="right" vertical="center"/>
    </xf>
    <xf numFmtId="10" fontId="26" fillId="16" borderId="44" xfId="0" applyNumberFormat="1" applyFont="1" applyFill="1" applyBorder="1" applyAlignment="1">
      <alignment horizontal="right" vertical="center"/>
    </xf>
    <xf numFmtId="10" fontId="26" fillId="16" borderId="27" xfId="0" applyNumberFormat="1" applyFont="1" applyFill="1" applyBorder="1" applyAlignment="1">
      <alignment horizontal="right" vertical="center"/>
    </xf>
    <xf numFmtId="4" fontId="26" fillId="16" borderId="44" xfId="0" applyNumberFormat="1" applyFont="1" applyFill="1" applyBorder="1" applyAlignment="1">
      <alignment horizontal="right" vertical="center"/>
    </xf>
    <xf numFmtId="10" fontId="26" fillId="16" borderId="44" xfId="0" applyNumberFormat="1" applyFont="1" applyFill="1" applyBorder="1" applyAlignment="1">
      <alignment horizontal="center" vertical="center"/>
    </xf>
    <xf numFmtId="10" fontId="49" fillId="16" borderId="44" xfId="0" applyNumberFormat="1" applyFont="1" applyFill="1" applyBorder="1" applyAlignment="1">
      <alignment horizontal="center" vertical="center"/>
    </xf>
    <xf numFmtId="0" fontId="26" fillId="16" borderId="44" xfId="0" applyFont="1" applyFill="1" applyBorder="1" applyAlignment="1">
      <alignment horizontal="center" vertical="center"/>
    </xf>
    <xf numFmtId="0" fontId="57" fillId="21" borderId="63" xfId="0" applyFont="1" applyFill="1" applyBorder="1" applyAlignment="1">
      <alignment horizontal="center" vertical="center" wrapText="1"/>
    </xf>
    <xf numFmtId="0" fontId="57" fillId="21" borderId="75" xfId="0" applyFont="1" applyFill="1" applyBorder="1" applyAlignment="1">
      <alignment horizontal="center" vertical="center" wrapText="1"/>
    </xf>
    <xf numFmtId="0" fontId="57" fillId="21" borderId="63" xfId="0" applyFont="1" applyFill="1" applyBorder="1" applyAlignment="1">
      <alignment horizontal="center" vertical="center"/>
    </xf>
    <xf numFmtId="0" fontId="57" fillId="21" borderId="64" xfId="0" applyFont="1" applyFill="1" applyBorder="1" applyAlignment="1">
      <alignment horizontal="center" vertical="center"/>
    </xf>
    <xf numFmtId="0" fontId="57" fillId="21" borderId="65" xfId="0" applyFont="1" applyFill="1" applyBorder="1" applyAlignment="1">
      <alignment horizontal="center" vertical="center"/>
    </xf>
    <xf numFmtId="0" fontId="57" fillId="22" borderId="63" xfId="0" applyFont="1" applyFill="1" applyBorder="1" applyAlignment="1">
      <alignment horizontal="center" vertical="center"/>
    </xf>
    <xf numFmtId="0" fontId="57" fillId="22" borderId="64" xfId="0" applyFont="1" applyFill="1" applyBorder="1" applyAlignment="1">
      <alignment horizontal="center" vertical="center"/>
    </xf>
    <xf numFmtId="0" fontId="57" fillId="22" borderId="65" xfId="0" applyFont="1" applyFill="1" applyBorder="1" applyAlignment="1">
      <alignment horizontal="center" vertical="center"/>
    </xf>
    <xf numFmtId="0" fontId="57" fillId="14" borderId="63" xfId="0" applyFont="1" applyFill="1" applyBorder="1" applyAlignment="1">
      <alignment horizontal="center" vertical="center" wrapText="1"/>
    </xf>
    <xf numFmtId="0" fontId="57" fillId="14" borderId="64" xfId="0" applyFont="1" applyFill="1" applyBorder="1" applyAlignment="1">
      <alignment horizontal="center" vertical="center" wrapText="1"/>
    </xf>
    <xf numFmtId="0" fontId="57" fillId="14" borderId="65" xfId="0" applyFont="1" applyFill="1" applyBorder="1" applyAlignment="1">
      <alignment horizontal="center" vertical="center" wrapText="1"/>
    </xf>
    <xf numFmtId="0" fontId="57" fillId="24" borderId="77" xfId="0" applyFont="1" applyFill="1" applyBorder="1" applyAlignment="1">
      <alignment horizontal="center" vertical="center" wrapText="1"/>
    </xf>
    <xf numFmtId="0" fontId="57" fillId="6" borderId="0" xfId="0" applyFont="1" applyFill="1" applyAlignment="1">
      <alignment vertical="center"/>
    </xf>
    <xf numFmtId="0" fontId="57" fillId="21" borderId="66" xfId="0" applyFont="1" applyFill="1" applyBorder="1" applyAlignment="1">
      <alignment horizontal="center" vertical="center" wrapText="1"/>
    </xf>
    <xf numFmtId="0" fontId="57" fillId="21" borderId="76" xfId="0" applyFont="1" applyFill="1" applyBorder="1" applyAlignment="1">
      <alignment horizontal="center" vertical="center"/>
    </xf>
    <xf numFmtId="0" fontId="57" fillId="21" borderId="66" xfId="0" applyFont="1" applyFill="1" applyBorder="1" applyAlignment="1">
      <alignment horizontal="center" vertical="center"/>
    </xf>
    <xf numFmtId="0" fontId="57" fillId="21" borderId="67" xfId="0" applyFont="1" applyFill="1" applyBorder="1" applyAlignment="1">
      <alignment horizontal="center" vertical="center"/>
    </xf>
    <xf numFmtId="0" fontId="57" fillId="21" borderId="67" xfId="0" applyFont="1" applyFill="1" applyBorder="1" applyAlignment="1">
      <alignment horizontal="center" vertical="center" wrapText="1"/>
    </xf>
    <xf numFmtId="0" fontId="57" fillId="21" borderId="68" xfId="0" applyFont="1" applyFill="1" applyBorder="1" applyAlignment="1">
      <alignment horizontal="center" vertical="center" wrapText="1"/>
    </xf>
    <xf numFmtId="0" fontId="57" fillId="22" borderId="66" xfId="0" applyFont="1" applyFill="1" applyBorder="1" applyAlignment="1">
      <alignment horizontal="center" vertical="center"/>
    </xf>
    <xf numFmtId="0" fontId="57" fillId="22" borderId="67" xfId="0" applyFont="1" applyFill="1" applyBorder="1" applyAlignment="1">
      <alignment horizontal="center" vertical="center"/>
    </xf>
    <xf numFmtId="0" fontId="57" fillId="22" borderId="67" xfId="0" applyFont="1" applyFill="1" applyBorder="1" applyAlignment="1">
      <alignment horizontal="center" vertical="center" wrapText="1"/>
    </xf>
    <xf numFmtId="0" fontId="57" fillId="22" borderId="68" xfId="0" applyFont="1" applyFill="1" applyBorder="1" applyAlignment="1">
      <alignment horizontal="center" vertical="center" wrapText="1"/>
    </xf>
    <xf numFmtId="0" fontId="57" fillId="14" borderId="66" xfId="0" applyFont="1" applyFill="1" applyBorder="1" applyAlignment="1">
      <alignment horizontal="center" vertical="center" wrapText="1"/>
    </xf>
    <xf numFmtId="0" fontId="57" fillId="14" borderId="67" xfId="0" applyFont="1" applyFill="1" applyBorder="1" applyAlignment="1">
      <alignment horizontal="center" vertical="center" wrapText="1"/>
    </xf>
    <xf numFmtId="0" fontId="57" fillId="14" borderId="68" xfId="0" applyFont="1" applyFill="1" applyBorder="1" applyAlignment="1">
      <alignment horizontal="center" vertical="center" wrapText="1"/>
    </xf>
    <xf numFmtId="0" fontId="57" fillId="24" borderId="78" xfId="0" applyFont="1" applyFill="1" applyBorder="1" applyAlignment="1">
      <alignment horizontal="center" vertical="center" wrapText="1"/>
    </xf>
    <xf numFmtId="4" fontId="57" fillId="6" borderId="0" xfId="0" applyNumberFormat="1" applyFont="1" applyFill="1" applyAlignment="1">
      <alignment vertical="center"/>
    </xf>
    <xf numFmtId="0" fontId="57" fillId="14" borderId="7" xfId="0" applyFont="1" applyFill="1" applyBorder="1" applyAlignment="1">
      <alignment horizontal="center" vertical="center" wrapText="1"/>
    </xf>
    <xf numFmtId="0" fontId="57" fillId="14" borderId="7" xfId="0" applyFont="1" applyFill="1" applyBorder="1" applyAlignment="1">
      <alignment horizontal="center" vertical="center"/>
    </xf>
    <xf numFmtId="0" fontId="84" fillId="6" borderId="0" xfId="11" applyFont="1" applyFill="1"/>
    <xf numFmtId="0" fontId="85" fillId="6" borderId="0" xfId="11" applyFont="1" applyFill="1"/>
    <xf numFmtId="0" fontId="57" fillId="14" borderId="81" xfId="0" applyFont="1" applyFill="1" applyBorder="1" applyAlignment="1">
      <alignment horizontal="center" vertical="center"/>
    </xf>
    <xf numFmtId="0" fontId="57" fillId="14" borderId="80" xfId="0" applyFont="1" applyFill="1" applyBorder="1" applyAlignment="1">
      <alignment horizontal="center" vertical="center"/>
    </xf>
    <xf numFmtId="0" fontId="57" fillId="14" borderId="76" xfId="0" applyFont="1" applyFill="1" applyBorder="1" applyAlignment="1">
      <alignment horizontal="center" vertical="center"/>
    </xf>
    <xf numFmtId="0" fontId="57" fillId="14" borderId="21" xfId="0" applyFont="1" applyFill="1" applyBorder="1" applyAlignment="1">
      <alignment horizontal="center" vertical="center" wrapText="1"/>
    </xf>
    <xf numFmtId="0" fontId="57" fillId="14" borderId="15" xfId="0" applyFont="1" applyFill="1" applyBorder="1" applyAlignment="1">
      <alignment horizontal="center" vertical="center" wrapText="1"/>
    </xf>
    <xf numFmtId="0" fontId="57" fillId="16" borderId="81" xfId="0" applyFont="1" applyFill="1" applyBorder="1" applyAlignment="1">
      <alignment horizontal="center" vertical="center"/>
    </xf>
    <xf numFmtId="0" fontId="57" fillId="16" borderId="80" xfId="0" applyFont="1" applyFill="1" applyBorder="1" applyAlignment="1">
      <alignment horizontal="center" vertical="center"/>
    </xf>
    <xf numFmtId="0" fontId="57" fillId="16" borderId="77" xfId="0" applyFont="1" applyFill="1" applyBorder="1" applyAlignment="1">
      <alignment horizontal="center" vertical="center"/>
    </xf>
    <xf numFmtId="0" fontId="57" fillId="16" borderId="66" xfId="0" applyFont="1" applyFill="1" applyBorder="1" applyAlignment="1">
      <alignment horizontal="center" vertical="center"/>
    </xf>
    <xf numFmtId="0" fontId="57" fillId="16" borderId="67" xfId="0" applyFont="1" applyFill="1" applyBorder="1" applyAlignment="1">
      <alignment horizontal="center" vertical="center"/>
    </xf>
    <xf numFmtId="0" fontId="57" fillId="16" borderId="68" xfId="0" applyFont="1" applyFill="1" applyBorder="1" applyAlignment="1">
      <alignment horizontal="center" vertical="center" wrapText="1"/>
    </xf>
    <xf numFmtId="0" fontId="57" fillId="25" borderId="81" xfId="0" applyFont="1" applyFill="1" applyBorder="1" applyAlignment="1">
      <alignment horizontal="center" vertical="center"/>
    </xf>
    <xf numFmtId="0" fontId="57" fillId="25" borderId="80" xfId="0" applyFont="1" applyFill="1" applyBorder="1" applyAlignment="1">
      <alignment horizontal="center" vertical="center"/>
    </xf>
    <xf numFmtId="0" fontId="57" fillId="25" borderId="77" xfId="0" applyFont="1" applyFill="1" applyBorder="1" applyAlignment="1">
      <alignment horizontal="center" vertical="center"/>
    </xf>
    <xf numFmtId="0" fontId="57" fillId="25" borderId="66" xfId="0" applyFont="1" applyFill="1" applyBorder="1" applyAlignment="1">
      <alignment horizontal="center" vertical="center"/>
    </xf>
    <xf numFmtId="0" fontId="57" fillId="25" borderId="67" xfId="0" applyFont="1" applyFill="1" applyBorder="1" applyAlignment="1">
      <alignment horizontal="center" vertical="center"/>
    </xf>
    <xf numFmtId="0" fontId="57" fillId="25" borderId="68" xfId="0" applyFont="1" applyFill="1" applyBorder="1" applyAlignment="1">
      <alignment horizontal="center" vertical="center" wrapText="1"/>
    </xf>
    <xf numFmtId="4" fontId="26" fillId="6" borderId="7" xfId="0" applyNumberFormat="1" applyFont="1" applyFill="1" applyBorder="1" applyAlignment="1">
      <alignment horizontal="center" vertical="center"/>
    </xf>
    <xf numFmtId="10" fontId="49" fillId="6" borderId="7" xfId="0" applyNumberFormat="1" applyFont="1" applyFill="1" applyBorder="1" applyAlignment="1">
      <alignment horizontal="center" vertical="center"/>
    </xf>
    <xf numFmtId="10" fontId="26" fillId="6" borderId="7" xfId="0" applyNumberFormat="1" applyFont="1" applyFill="1" applyBorder="1" applyAlignment="1">
      <alignment horizontal="center" vertical="center"/>
    </xf>
    <xf numFmtId="4" fontId="48" fillId="6" borderId="7" xfId="0" applyNumberFormat="1" applyFont="1" applyFill="1" applyBorder="1" applyAlignment="1">
      <alignment horizontal="center" vertical="center"/>
    </xf>
    <xf numFmtId="0" fontId="57" fillId="24" borderId="19" xfId="0" applyFont="1" applyFill="1" applyBorder="1" applyAlignment="1">
      <alignment horizontal="center" vertical="center" wrapText="1"/>
    </xf>
    <xf numFmtId="0" fontId="57" fillId="24" borderId="14" xfId="0" applyFont="1" applyFill="1" applyBorder="1" applyAlignment="1">
      <alignment horizontal="center" vertical="center" wrapText="1"/>
    </xf>
    <xf numFmtId="168" fontId="60" fillId="6" borderId="11" xfId="0" applyNumberFormat="1" applyFont="1" applyFill="1" applyBorder="1" applyAlignment="1">
      <alignment horizontal="center" vertical="center"/>
    </xf>
    <xf numFmtId="0" fontId="86" fillId="6" borderId="11" xfId="0" applyFont="1" applyFill="1" applyBorder="1" applyAlignment="1">
      <alignment horizontal="center" vertical="center"/>
    </xf>
    <xf numFmtId="10" fontId="60" fillId="6" borderId="11" xfId="0" applyNumberFormat="1" applyFont="1" applyFill="1" applyBorder="1" applyAlignment="1">
      <alignment vertical="center"/>
    </xf>
    <xf numFmtId="0" fontId="86" fillId="6" borderId="11" xfId="0" applyFont="1" applyFill="1" applyBorder="1" applyAlignment="1">
      <alignment horizontal="center" vertical="center" wrapText="1"/>
    </xf>
    <xf numFmtId="0" fontId="86" fillId="6" borderId="0" xfId="0" applyFont="1" applyFill="1" applyAlignment="1">
      <alignment vertical="center"/>
    </xf>
    <xf numFmtId="0" fontId="57" fillId="6" borderId="4" xfId="11" applyFont="1" applyFill="1" applyBorder="1" applyAlignment="1">
      <alignment vertical="center"/>
    </xf>
    <xf numFmtId="0" fontId="57" fillId="16" borderId="7" xfId="0" applyFont="1" applyFill="1" applyBorder="1" applyAlignment="1">
      <alignment horizontal="center" vertical="center"/>
    </xf>
    <xf numFmtId="0" fontId="57" fillId="16" borderId="7" xfId="0" applyFont="1" applyFill="1" applyBorder="1" applyAlignment="1">
      <alignment horizontal="center" vertical="center" wrapText="1"/>
    </xf>
    <xf numFmtId="0" fontId="57" fillId="16" borderId="7" xfId="0" applyFont="1" applyFill="1" applyBorder="1" applyAlignment="1">
      <alignment horizontal="center" vertical="center"/>
    </xf>
    <xf numFmtId="0" fontId="57" fillId="23" borderId="7" xfId="0" applyFont="1" applyFill="1" applyBorder="1" applyAlignment="1">
      <alignment horizontal="center" vertical="center"/>
    </xf>
    <xf numFmtId="0" fontId="57" fillId="23" borderId="7" xfId="0" applyFont="1" applyFill="1" applyBorder="1" applyAlignment="1">
      <alignment horizontal="center" vertical="center" wrapText="1"/>
    </xf>
    <xf numFmtId="0" fontId="57" fillId="23" borderId="7" xfId="0" applyFont="1" applyFill="1" applyBorder="1" applyAlignment="1">
      <alignment horizontal="center" vertical="center" wrapText="1"/>
    </xf>
    <xf numFmtId="0" fontId="57" fillId="23" borderId="7" xfId="0" applyFont="1" applyFill="1" applyBorder="1" applyAlignment="1">
      <alignment horizontal="center" vertical="center"/>
    </xf>
    <xf numFmtId="168" fontId="26" fillId="6" borderId="3" xfId="0" applyNumberFormat="1" applyFont="1" applyFill="1" applyBorder="1" applyAlignment="1">
      <alignment horizontal="center" vertical="center"/>
    </xf>
    <xf numFmtId="4" fontId="26" fillId="6" borderId="11" xfId="0" applyNumberFormat="1" applyFont="1" applyFill="1" applyBorder="1" applyAlignment="1">
      <alignment horizontal="center" vertical="center"/>
    </xf>
    <xf numFmtId="10" fontId="26" fillId="6" borderId="11" xfId="0" applyNumberFormat="1" applyFont="1" applyFill="1" applyBorder="1" applyAlignment="1">
      <alignment horizontal="center" vertical="center"/>
    </xf>
    <xf numFmtId="168" fontId="26" fillId="6" borderId="5" xfId="0" applyNumberFormat="1" applyFont="1" applyFill="1" applyBorder="1" applyAlignment="1">
      <alignment horizontal="center" vertical="center"/>
    </xf>
    <xf numFmtId="0" fontId="57" fillId="6" borderId="5" xfId="0" applyFont="1" applyFill="1" applyBorder="1" applyAlignment="1">
      <alignment horizontal="center" vertical="center"/>
    </xf>
    <xf numFmtId="4" fontId="64" fillId="6" borderId="7" xfId="0" applyNumberFormat="1" applyFont="1" applyFill="1" applyBorder="1" applyAlignment="1">
      <alignment horizontal="center" vertical="center"/>
    </xf>
    <xf numFmtId="10" fontId="64" fillId="6" borderId="7" xfId="0" applyNumberFormat="1" applyFont="1" applyFill="1" applyBorder="1" applyAlignment="1">
      <alignment horizontal="center" vertical="center"/>
    </xf>
    <xf numFmtId="168" fontId="64" fillId="6" borderId="5" xfId="0" applyNumberFormat="1" applyFont="1" applyFill="1" applyBorder="1" applyAlignment="1">
      <alignment horizontal="center" vertical="center"/>
    </xf>
    <xf numFmtId="0" fontId="82" fillId="6" borderId="11" xfId="483" applyFont="1" applyFill="1" applyBorder="1" applyAlignment="1">
      <alignment horizontal="left" vertical="center"/>
    </xf>
    <xf numFmtId="0" fontId="55" fillId="21" borderId="0" xfId="11" applyFont="1" applyFill="1" applyAlignment="1">
      <alignment horizontal="center" vertical="center" wrapText="1"/>
    </xf>
    <xf numFmtId="0" fontId="82" fillId="16" borderId="63" xfId="483" applyFont="1" applyFill="1" applyBorder="1">
      <alignment horizontal="center" vertical="center" wrapText="1"/>
    </xf>
    <xf numFmtId="0" fontId="82" fillId="16" borderId="64" xfId="483" applyFont="1" applyFill="1" applyBorder="1">
      <alignment horizontal="center" vertical="center" wrapText="1"/>
    </xf>
    <xf numFmtId="0" fontId="82" fillId="16" borderId="65" xfId="483" applyFont="1" applyFill="1" applyBorder="1">
      <alignment horizontal="center" vertical="center" wrapText="1"/>
    </xf>
    <xf numFmtId="0" fontId="82" fillId="16" borderId="66" xfId="483" applyFont="1" applyFill="1" applyBorder="1">
      <alignment horizontal="center" vertical="center" wrapText="1"/>
    </xf>
    <xf numFmtId="0" fontId="82" fillId="16" borderId="67" xfId="483" applyFont="1" applyFill="1" applyBorder="1">
      <alignment horizontal="center" vertical="center" wrapText="1"/>
    </xf>
    <xf numFmtId="0" fontId="82" fillId="16" borderId="67" xfId="483" applyFont="1" applyFill="1" applyBorder="1">
      <alignment horizontal="center" vertical="center" wrapText="1"/>
    </xf>
    <xf numFmtId="0" fontId="82" fillId="16" borderId="68" xfId="483" applyFont="1" applyFill="1" applyBorder="1">
      <alignment horizontal="center" vertical="center" wrapText="1"/>
    </xf>
    <xf numFmtId="0" fontId="57" fillId="6" borderId="0" xfId="0" applyFont="1" applyFill="1" applyAlignment="1">
      <alignment horizontal="center" vertical="center" wrapText="1"/>
    </xf>
    <xf numFmtId="0" fontId="57" fillId="14" borderId="7" xfId="11" applyFont="1" applyFill="1" applyBorder="1" applyAlignment="1">
      <alignment horizontal="center" vertical="center"/>
    </xf>
    <xf numFmtId="0" fontId="57" fillId="14" borderId="7" xfId="11" applyFont="1" applyFill="1" applyBorder="1" applyAlignment="1">
      <alignment horizontal="center" vertical="center" wrapText="1"/>
    </xf>
    <xf numFmtId="4" fontId="57" fillId="6" borderId="0" xfId="11" applyNumberFormat="1" applyFont="1" applyFill="1" applyAlignment="1">
      <alignment vertical="center"/>
    </xf>
    <xf numFmtId="10" fontId="57" fillId="6" borderId="0" xfId="11" applyNumberFormat="1" applyFont="1" applyFill="1" applyAlignment="1">
      <alignment vertical="center"/>
    </xf>
    <xf numFmtId="0" fontId="49" fillId="6" borderId="44" xfId="0" applyFont="1" applyFill="1" applyBorder="1" applyAlignment="1">
      <alignment horizontal="center" vertical="center"/>
    </xf>
    <xf numFmtId="0" fontId="49" fillId="6" borderId="84" xfId="0" applyFont="1" applyFill="1" applyBorder="1" applyAlignment="1">
      <alignment horizontal="left" vertical="center"/>
    </xf>
    <xf numFmtId="0" fontId="49" fillId="6" borderId="85" xfId="0" applyFont="1" applyFill="1" applyBorder="1" applyAlignment="1">
      <alignment horizontal="center" vertical="center"/>
    </xf>
    <xf numFmtId="43" fontId="49" fillId="6" borderId="44" xfId="430" applyFont="1" applyFill="1" applyBorder="1" applyAlignment="1">
      <alignment horizontal="right" vertical="center"/>
    </xf>
    <xf numFmtId="10" fontId="49" fillId="6" borderId="11" xfId="430" applyNumberFormat="1" applyFont="1" applyFill="1" applyBorder="1" applyAlignment="1">
      <alignment horizontal="right" vertical="center"/>
    </xf>
    <xf numFmtId="43" fontId="49" fillId="6" borderId="11" xfId="430" applyFont="1" applyFill="1" applyBorder="1" applyAlignment="1">
      <alignment horizontal="right" vertical="center"/>
    </xf>
    <xf numFmtId="0" fontId="57" fillId="14" borderId="66" xfId="11" applyFont="1" applyFill="1" applyBorder="1" applyAlignment="1">
      <alignment horizontal="center" vertical="center"/>
    </xf>
    <xf numFmtId="0" fontId="57" fillId="14" borderId="63" xfId="11" applyFont="1" applyFill="1" applyBorder="1" applyAlignment="1">
      <alignment horizontal="center" vertical="center" wrapText="1"/>
    </xf>
    <xf numFmtId="0" fontId="57" fillId="14" borderId="65" xfId="11" applyFont="1" applyFill="1" applyBorder="1" applyAlignment="1">
      <alignment horizontal="center" vertical="center" wrapText="1"/>
    </xf>
    <xf numFmtId="0" fontId="57" fillId="22" borderId="65" xfId="0" applyFont="1" applyFill="1" applyBorder="1" applyAlignment="1">
      <alignment horizontal="center" vertical="center" wrapText="1"/>
    </xf>
    <xf numFmtId="0" fontId="57" fillId="22" borderId="66" xfId="0" applyFont="1" applyFill="1" applyBorder="1" applyAlignment="1">
      <alignment horizontal="center" vertical="center"/>
    </xf>
    <xf numFmtId="0" fontId="57" fillId="22" borderId="67" xfId="0" applyFont="1" applyFill="1" applyBorder="1" applyAlignment="1">
      <alignment horizontal="center" vertical="center"/>
    </xf>
    <xf numFmtId="0" fontId="57" fillId="22" borderId="68" xfId="0" applyFont="1" applyFill="1" applyBorder="1" applyAlignment="1">
      <alignment horizontal="center" vertical="center" wrapText="1"/>
    </xf>
    <xf numFmtId="0" fontId="57" fillId="16" borderId="63" xfId="11" applyFont="1" applyFill="1" applyBorder="1" applyAlignment="1">
      <alignment horizontal="center" vertical="center"/>
    </xf>
    <xf numFmtId="0" fontId="57" fillId="16" borderId="65" xfId="11" applyFont="1" applyFill="1" applyBorder="1" applyAlignment="1">
      <alignment horizontal="center" vertical="center"/>
    </xf>
    <xf numFmtId="0" fontId="57" fillId="16" borderId="66" xfId="11" applyFont="1" applyFill="1" applyBorder="1" applyAlignment="1">
      <alignment horizontal="center" vertical="center"/>
    </xf>
    <xf numFmtId="0" fontId="57" fillId="26" borderId="63" xfId="11" applyFont="1" applyFill="1" applyBorder="1" applyAlignment="1">
      <alignment horizontal="center" vertical="center" wrapText="1"/>
    </xf>
    <xf numFmtId="0" fontId="57" fillId="26" borderId="65" xfId="11" applyFont="1" applyFill="1" applyBorder="1" applyAlignment="1">
      <alignment horizontal="center" vertical="center" wrapText="1"/>
    </xf>
    <xf numFmtId="0" fontId="57" fillId="26" borderId="66" xfId="11" applyFont="1" applyFill="1" applyBorder="1" applyAlignment="1">
      <alignment horizontal="center" vertical="center"/>
    </xf>
    <xf numFmtId="0" fontId="57" fillId="26" borderId="68" xfId="11" applyFont="1" applyFill="1" applyBorder="1" applyAlignment="1">
      <alignment horizontal="center" vertical="center"/>
    </xf>
    <xf numFmtId="0" fontId="57" fillId="16" borderId="63" xfId="0" applyFont="1" applyFill="1" applyBorder="1" applyAlignment="1">
      <alignment horizontal="center" vertical="center"/>
    </xf>
    <xf numFmtId="0" fontId="57" fillId="16" borderId="64" xfId="0" applyFont="1" applyFill="1" applyBorder="1" applyAlignment="1">
      <alignment horizontal="center" vertical="center"/>
    </xf>
    <xf numFmtId="0" fontId="57" fillId="16" borderId="66" xfId="0" applyFont="1" applyFill="1" applyBorder="1" applyAlignment="1">
      <alignment horizontal="center" vertical="center"/>
    </xf>
    <xf numFmtId="0" fontId="57" fillId="16" borderId="67" xfId="0" applyFont="1" applyFill="1" applyBorder="1" applyAlignment="1">
      <alignment horizontal="center" vertical="center"/>
    </xf>
    <xf numFmtId="0" fontId="57" fillId="16" borderId="68" xfId="11" applyFont="1" applyFill="1" applyBorder="1" applyAlignment="1">
      <alignment horizontal="center" vertical="center"/>
    </xf>
    <xf numFmtId="174" fontId="57" fillId="16" borderId="7" xfId="430" applyNumberFormat="1" applyFont="1" applyFill="1" applyBorder="1" applyAlignment="1">
      <alignment horizontal="right" vertical="center"/>
    </xf>
    <xf numFmtId="0" fontId="57" fillId="16" borderId="7" xfId="0" applyFont="1" applyFill="1" applyBorder="1" applyAlignment="1">
      <alignment horizontal="left" vertical="center"/>
    </xf>
    <xf numFmtId="0" fontId="49" fillId="16" borderId="7" xfId="11" applyFont="1" applyFill="1" applyBorder="1" applyAlignment="1">
      <alignment horizontal="right" vertical="center"/>
    </xf>
    <xf numFmtId="0" fontId="58" fillId="21" borderId="60" xfId="11" applyFont="1" applyFill="1" applyBorder="1" applyAlignment="1">
      <alignment vertical="center"/>
    </xf>
    <xf numFmtId="0" fontId="49" fillId="21" borderId="60" xfId="4" applyFont="1" applyFill="1" applyBorder="1" applyAlignment="1">
      <alignment vertical="center"/>
    </xf>
    <xf numFmtId="0" fontId="57" fillId="21" borderId="61" xfId="4" applyFont="1" applyFill="1" applyBorder="1" applyAlignment="1">
      <alignment vertical="center"/>
    </xf>
    <xf numFmtId="17" fontId="49" fillId="6" borderId="11" xfId="11" applyNumberFormat="1" applyFont="1" applyFill="1" applyBorder="1" applyAlignment="1">
      <alignment horizontal="center" vertical="center"/>
    </xf>
    <xf numFmtId="43" fontId="49" fillId="6" borderId="11" xfId="11" applyNumberFormat="1" applyFont="1" applyFill="1" applyBorder="1" applyAlignment="1">
      <alignment vertical="center" wrapText="1"/>
    </xf>
    <xf numFmtId="43" fontId="49" fillId="6" borderId="11" xfId="11" applyNumberFormat="1" applyFont="1" applyFill="1" applyBorder="1" applyAlignment="1">
      <alignment horizontal="center" vertical="center" wrapText="1"/>
    </xf>
    <xf numFmtId="14" fontId="49" fillId="6" borderId="11" xfId="11" applyNumberFormat="1" applyFont="1" applyFill="1" applyBorder="1" applyAlignment="1">
      <alignment horizontal="right" vertical="center" wrapText="1"/>
    </xf>
    <xf numFmtId="0" fontId="57" fillId="14" borderId="64" xfId="11" applyFont="1" applyFill="1" applyBorder="1" applyAlignment="1">
      <alignment horizontal="center" vertical="center" wrapText="1"/>
    </xf>
    <xf numFmtId="0" fontId="57" fillId="14" borderId="69" xfId="11" applyFont="1" applyFill="1" applyBorder="1" applyAlignment="1">
      <alignment horizontal="center" vertical="center"/>
    </xf>
    <xf numFmtId="0" fontId="57" fillId="14" borderId="7" xfId="11" applyFont="1" applyFill="1" applyBorder="1" applyAlignment="1">
      <alignment horizontal="center" vertical="center" wrapText="1"/>
    </xf>
    <xf numFmtId="0" fontId="57" fillId="14" borderId="70" xfId="11" applyFont="1" applyFill="1" applyBorder="1" applyAlignment="1">
      <alignment horizontal="center" vertical="center" wrapText="1"/>
    </xf>
    <xf numFmtId="0" fontId="57" fillId="14" borderId="67" xfId="11" applyFont="1" applyFill="1" applyBorder="1" applyAlignment="1">
      <alignment horizontal="center" vertical="center" wrapText="1"/>
    </xf>
    <xf numFmtId="0" fontId="57" fillId="14" borderId="67" xfId="11" applyFont="1" applyFill="1" applyBorder="1" applyAlignment="1">
      <alignment horizontal="center" vertical="center" wrapText="1"/>
    </xf>
    <xf numFmtId="0" fontId="57" fillId="14" borderId="68" xfId="11" applyFont="1" applyFill="1" applyBorder="1" applyAlignment="1">
      <alignment horizontal="center" vertical="center" wrapText="1"/>
    </xf>
    <xf numFmtId="0" fontId="57" fillId="14" borderId="64" xfId="11" applyFont="1" applyFill="1" applyBorder="1" applyAlignment="1">
      <alignment horizontal="center" vertical="center" wrapText="1"/>
    </xf>
    <xf numFmtId="9" fontId="57" fillId="14" borderId="67" xfId="26" applyFont="1" applyFill="1" applyBorder="1" applyAlignment="1">
      <alignment horizontal="center" vertical="center" wrapText="1"/>
    </xf>
    <xf numFmtId="0" fontId="49" fillId="16" borderId="7" xfId="11" applyFont="1" applyFill="1" applyBorder="1" applyAlignment="1">
      <alignment horizontal="center" vertical="center"/>
    </xf>
    <xf numFmtId="17" fontId="49" fillId="16" borderId="7" xfId="11" applyNumberFormat="1" applyFont="1" applyFill="1" applyBorder="1" applyAlignment="1">
      <alignment horizontal="center" vertical="center"/>
    </xf>
    <xf numFmtId="43" fontId="49" fillId="16" borderId="7" xfId="11" applyNumberFormat="1" applyFont="1" applyFill="1" applyBorder="1" applyAlignment="1">
      <alignment vertical="center" wrapText="1"/>
    </xf>
    <xf numFmtId="43" fontId="49" fillId="16" borderId="7" xfId="11" applyNumberFormat="1" applyFont="1" applyFill="1" applyBorder="1" applyAlignment="1">
      <alignment horizontal="center" vertical="center" wrapText="1"/>
    </xf>
    <xf numFmtId="0" fontId="49" fillId="16" borderId="7" xfId="11" applyFont="1" applyFill="1" applyBorder="1" applyAlignment="1">
      <alignment horizontal="left" vertical="center" wrapText="1"/>
    </xf>
    <xf numFmtId="14" fontId="49" fillId="16" borderId="7" xfId="11" applyNumberFormat="1" applyFont="1" applyFill="1" applyBorder="1" applyAlignment="1">
      <alignment horizontal="right" vertical="center" wrapText="1"/>
    </xf>
    <xf numFmtId="0" fontId="57" fillId="23" borderId="64" xfId="11" applyFont="1" applyFill="1" applyBorder="1" applyAlignment="1">
      <alignment horizontal="center" vertical="center" wrapText="1"/>
    </xf>
    <xf numFmtId="0" fontId="57" fillId="23" borderId="79" xfId="11" applyFont="1" applyFill="1" applyBorder="1" applyAlignment="1">
      <alignment horizontal="center" vertical="center" wrapText="1"/>
    </xf>
    <xf numFmtId="0" fontId="57" fillId="23" borderId="86" xfId="11" applyFont="1" applyFill="1" applyBorder="1" applyAlignment="1">
      <alignment horizontal="center" vertical="center" wrapText="1"/>
    </xf>
    <xf numFmtId="0" fontId="57" fillId="23" borderId="21" xfId="11" applyFont="1" applyFill="1" applyBorder="1" applyAlignment="1">
      <alignment horizontal="center" vertical="center" wrapText="1"/>
    </xf>
    <xf numFmtId="0" fontId="57" fillId="23" borderId="82" xfId="11" applyFont="1" applyFill="1" applyBorder="1" applyAlignment="1">
      <alignment horizontal="center" vertical="center" wrapText="1"/>
    </xf>
    <xf numFmtId="0" fontId="57" fillId="23" borderId="65" xfId="11" applyFont="1" applyFill="1" applyBorder="1" applyAlignment="1">
      <alignment horizontal="center" vertical="center" wrapText="1"/>
    </xf>
    <xf numFmtId="0" fontId="57" fillId="23" borderId="69" xfId="11" applyFont="1" applyFill="1" applyBorder="1" applyAlignment="1">
      <alignment horizontal="center" vertical="center"/>
    </xf>
    <xf numFmtId="0" fontId="57" fillId="23" borderId="7" xfId="11" applyFont="1" applyFill="1" applyBorder="1" applyAlignment="1">
      <alignment horizontal="center" vertical="center"/>
    </xf>
    <xf numFmtId="0" fontId="57" fillId="23" borderId="7" xfId="11" applyFont="1" applyFill="1" applyBorder="1" applyAlignment="1">
      <alignment horizontal="center" vertical="center" wrapText="1"/>
    </xf>
    <xf numFmtId="0" fontId="57" fillId="23" borderId="7" xfId="11" applyFont="1" applyFill="1" applyBorder="1" applyAlignment="1">
      <alignment horizontal="center" vertical="center" wrapText="1"/>
    </xf>
    <xf numFmtId="0" fontId="57" fillId="23" borderId="11" xfId="11" applyFont="1" applyFill="1" applyBorder="1" applyAlignment="1">
      <alignment horizontal="center" vertical="center" wrapText="1"/>
    </xf>
    <xf numFmtId="0" fontId="57" fillId="23" borderId="2" xfId="11" applyFont="1" applyFill="1" applyBorder="1" applyAlignment="1">
      <alignment horizontal="center" vertical="center" wrapText="1"/>
    </xf>
    <xf numFmtId="0" fontId="57" fillId="23" borderId="0" xfId="11" applyFont="1" applyFill="1" applyBorder="1" applyAlignment="1">
      <alignment horizontal="center" vertical="center" wrapText="1"/>
    </xf>
    <xf numFmtId="0" fontId="57" fillId="23" borderId="17" xfId="11" applyFont="1" applyFill="1" applyBorder="1" applyAlignment="1">
      <alignment horizontal="center" vertical="center" wrapText="1"/>
    </xf>
    <xf numFmtId="0" fontId="57" fillId="23" borderId="70" xfId="11" applyFont="1" applyFill="1" applyBorder="1" applyAlignment="1">
      <alignment horizontal="center" vertical="center" wrapText="1"/>
    </xf>
    <xf numFmtId="0" fontId="57" fillId="23" borderId="67" xfId="11" applyFont="1" applyFill="1" applyBorder="1" applyAlignment="1">
      <alignment horizontal="center" vertical="center" wrapText="1"/>
    </xf>
    <xf numFmtId="0" fontId="57" fillId="23" borderId="87" xfId="11" applyFont="1" applyFill="1" applyBorder="1" applyAlignment="1">
      <alignment horizontal="center" vertical="center" wrapText="1"/>
    </xf>
    <xf numFmtId="0" fontId="57" fillId="23" borderId="15" xfId="11" applyFont="1" applyFill="1" applyBorder="1" applyAlignment="1">
      <alignment horizontal="center" vertical="center" wrapText="1"/>
    </xf>
    <xf numFmtId="0" fontId="57" fillId="23" borderId="83" xfId="11" applyFont="1" applyFill="1" applyBorder="1" applyAlignment="1">
      <alignment horizontal="center" vertical="center" wrapText="1"/>
    </xf>
    <xf numFmtId="0" fontId="57" fillId="23" borderId="67" xfId="11" applyFont="1" applyFill="1" applyBorder="1" applyAlignment="1">
      <alignment horizontal="center" vertical="center" wrapText="1"/>
    </xf>
    <xf numFmtId="0" fontId="57" fillId="23" borderId="68" xfId="11" applyFont="1" applyFill="1" applyBorder="1" applyAlignment="1">
      <alignment horizontal="center" vertical="center" wrapText="1"/>
    </xf>
    <xf numFmtId="0" fontId="57" fillId="14" borderId="69" xfId="11" applyFont="1" applyFill="1" applyBorder="1" applyAlignment="1">
      <alignment horizontal="center" vertical="center" wrapText="1"/>
    </xf>
    <xf numFmtId="0" fontId="57" fillId="14" borderId="66" xfId="11" applyFont="1" applyFill="1" applyBorder="1" applyAlignment="1">
      <alignment horizontal="center" vertical="center" wrapText="1"/>
    </xf>
  </cellXfs>
  <cellStyles count="487">
    <cellStyle name="_x0004_¥ 2" xfId="17" xr:uid="{00000000-0005-0000-0000-000000000000}"/>
    <cellStyle name="_x0004_¥_Metrado Estructuras  Bloque  F 2" xfId="18" xr:uid="{00000000-0005-0000-0000-000001000000}"/>
    <cellStyle name="20% - Énfasis3 2" xfId="23" xr:uid="{00000000-0005-0000-0000-000002000000}"/>
    <cellStyle name="C NUMER 14" xfId="484" xr:uid="{9484EE9C-C7C4-44B9-B537-5F2D2063119D}"/>
    <cellStyle name="Cálculo 2" xfId="25" xr:uid="{00000000-0005-0000-0000-000003000000}"/>
    <cellStyle name="Cancel_P2008-172-WP-AGP-VOLVO JP 2" xfId="14" xr:uid="{00000000-0005-0000-0000-000004000000}"/>
    <cellStyle name="D LETRAS 12" xfId="482" xr:uid="{839EB669-82A6-4B49-B015-4304A4B2530B}"/>
    <cellStyle name="E NUMERO 14" xfId="485" xr:uid="{F8D2FE3D-29B4-4372-B06E-E172B4A1CD98}"/>
    <cellStyle name="Entrada 2" xfId="24" xr:uid="{00000000-0005-0000-0000-000005000000}"/>
    <cellStyle name="Euro" xfId="432" xr:uid="{FF072BBE-E9B1-4C06-AC86-0C34D05D486F}"/>
    <cellStyle name="F2" xfId="461" xr:uid="{073116EA-206C-4FEF-B9FF-DAD7D1FB0072}"/>
    <cellStyle name="F3" xfId="462" xr:uid="{9A8F881F-A12A-4DF9-96E7-41CEE94B5E57}"/>
    <cellStyle name="F4" xfId="463" xr:uid="{6DE8AE31-C319-484D-9210-2695922E287B}"/>
    <cellStyle name="F5" xfId="464" xr:uid="{846819FC-7E8C-416C-838F-A745266FBE5D}"/>
    <cellStyle name="F6" xfId="465" xr:uid="{88CBD4A6-A607-4A27-A2D7-8A92EF470DF1}"/>
    <cellStyle name="F7" xfId="466" xr:uid="{273F55CD-3263-476C-90B0-F6B65FC2E9A4}"/>
    <cellStyle name="F8" xfId="467" xr:uid="{ADED462F-9AB6-4A21-A580-33305D298CEE}"/>
    <cellStyle name="G LETRAS 14" xfId="483" xr:uid="{E4A3F0FB-6A96-45F1-8294-3403A9BE2F83}"/>
    <cellStyle name="Millares" xfId="430" builtinId="3"/>
    <cellStyle name="Millares [0] 2" xfId="214" xr:uid="{00000000-0005-0000-0000-000007000000}"/>
    <cellStyle name="Millares 10" xfId="444" xr:uid="{F5B1F228-4D61-4168-AF72-7E969457E096}"/>
    <cellStyle name="Millares 11" xfId="445" xr:uid="{4CC30D84-D46E-45B4-9B6F-E510C9EDB23D}"/>
    <cellStyle name="Millares 12" xfId="451" xr:uid="{BC13E988-98D2-40E3-86C6-561DC8B700FA}"/>
    <cellStyle name="Millares 15 3" xfId="479" xr:uid="{CBA78AA9-E780-4FF0-8E95-7DA2F61002E5}"/>
    <cellStyle name="Millares 2" xfId="106" xr:uid="{00000000-0005-0000-0000-000008000000}"/>
    <cellStyle name="Millares 2 2" xfId="468" xr:uid="{55A87BAB-E24C-42F9-A950-AEC86AD0B96B}"/>
    <cellStyle name="Millares 2 3" xfId="433" xr:uid="{8B13B48F-2CB6-4E9E-8604-A5384CFEB1A1}"/>
    <cellStyle name="Millares 2 3 15" xfId="481" xr:uid="{1BB4722E-87FD-4713-A96A-406559A0EBFC}"/>
    <cellStyle name="Millares 3" xfId="436" xr:uid="{7999FA8E-2DFB-4CE5-A6BC-BFF1AE57001B}"/>
    <cellStyle name="Millares 3 2" xfId="452" xr:uid="{B9C1C7C7-E14F-4AD8-B0CC-106F3F4A1CFB}"/>
    <cellStyle name="Millares 4" xfId="438" xr:uid="{6CCC248F-3B6D-4F7E-987C-768EDB6FE4C8}"/>
    <cellStyle name="Millares 4 2" xfId="441" xr:uid="{D354E9C9-CFED-4326-BCCB-23CD193D9E2E}"/>
    <cellStyle name="Millares 5" xfId="443" xr:uid="{08CE7005-84E3-4833-A452-F7DBCF7EFEA5}"/>
    <cellStyle name="Millares 6" xfId="446" xr:uid="{EFA853B7-646F-4A35-A354-F277D4080271}"/>
    <cellStyle name="Millares 7" xfId="447" xr:uid="{1D5AE718-27FD-4952-B5B0-0A2B366CD053}"/>
    <cellStyle name="Millares 8" xfId="5" xr:uid="{00000000-0005-0000-0000-000009000000}"/>
    <cellStyle name="Millares 8 2" xfId="27" xr:uid="{00000000-0005-0000-0000-00000A000000}"/>
    <cellStyle name="Millares 8 3" xfId="448" xr:uid="{076017C2-AB2A-4E50-A705-BA1F8EE1B460}"/>
    <cellStyle name="Millares 9" xfId="449" xr:uid="{89BE6FB5-9849-414A-9DDD-4E3E4ACCCA6F}"/>
    <cellStyle name="Moneda 2" xfId="22" xr:uid="{00000000-0005-0000-0000-00000B000000}"/>
    <cellStyle name="Moneda 3" xfId="477" xr:uid="{52296A0F-0B9B-4CA6-A97F-7A536A96E9C9}"/>
    <cellStyle name="No-definido" xfId="434" xr:uid="{09ACBFBB-EB8C-4EF6-964E-FD6160A154F9}"/>
    <cellStyle name="Normal" xfId="0" builtinId="0"/>
    <cellStyle name="Normal 10" xfId="1" xr:uid="{00000000-0005-0000-0000-00000E000000}"/>
    <cellStyle name="Normal 10 2 8" xfId="480" xr:uid="{4F649F25-98A9-4EE4-AA67-EAE7B2C619AB}"/>
    <cellStyle name="Normal 11" xfId="2" xr:uid="{00000000-0005-0000-0000-00000F000000}"/>
    <cellStyle name="Normal 12" xfId="431" xr:uid="{E4CAF488-492F-44DE-BFDE-46702CC10430}"/>
    <cellStyle name="Normal 13" xfId="486" xr:uid="{5C6BEF72-0BC0-4AD9-AE40-205DD2E68039}"/>
    <cellStyle name="Normal 2" xfId="7" xr:uid="{00000000-0005-0000-0000-000010000000}"/>
    <cellStyle name="Normal 2 10" xfId="210" xr:uid="{00000000-0005-0000-0000-000011000000}"/>
    <cellStyle name="Normal 2 11" xfId="148" xr:uid="{00000000-0005-0000-0000-000012000000}"/>
    <cellStyle name="Normal 2 12" xfId="250" xr:uid="{00000000-0005-0000-0000-000013000000}"/>
    <cellStyle name="Normal 2 13" xfId="350" xr:uid="{00000000-0005-0000-0000-000014000000}"/>
    <cellStyle name="Normal 2 14" xfId="108" xr:uid="{00000000-0005-0000-0000-000015000000}"/>
    <cellStyle name="Normal 2 2" xfId="4" xr:uid="{00000000-0005-0000-0000-000016000000}"/>
    <cellStyle name="Normal 2 2 2" xfId="11" xr:uid="{00000000-0005-0000-0000-000017000000}"/>
    <cellStyle name="Normal 2 2 3" xfId="478" xr:uid="{67A0E846-17C8-4923-A1A6-1D014FC64D7B}"/>
    <cellStyle name="Normal 2 3" xfId="19" xr:uid="{00000000-0005-0000-0000-000018000000}"/>
    <cellStyle name="Normal 2 3 10" xfId="353" xr:uid="{00000000-0005-0000-0000-000019000000}"/>
    <cellStyle name="Normal 2 3 11" xfId="111" xr:uid="{00000000-0005-0000-0000-00001A000000}"/>
    <cellStyle name="Normal 2 3 12" xfId="469" xr:uid="{9436AE92-2440-4976-8D13-4A2473F8F35A}"/>
    <cellStyle name="Normal 2 3 2" xfId="20" xr:uid="{00000000-0005-0000-0000-00001B000000}"/>
    <cellStyle name="Normal 2 3 2 10" xfId="112" xr:uid="{00000000-0005-0000-0000-00001C000000}"/>
    <cellStyle name="Normal 2 3 2 2" xfId="34" xr:uid="{00000000-0005-0000-0000-00001D000000}"/>
    <cellStyle name="Normal 2 3 2 2 2" xfId="44" xr:uid="{00000000-0005-0000-0000-00001E000000}"/>
    <cellStyle name="Normal 2 3 2 2 2 2" xfId="64" xr:uid="{00000000-0005-0000-0000-00001F000000}"/>
    <cellStyle name="Normal 2 3 2 2 2 2 2" xfId="104" xr:uid="{00000000-0005-0000-0000-000020000000}"/>
    <cellStyle name="Normal 2 3 2 2 2 2 2 2" xfId="349" xr:uid="{00000000-0005-0000-0000-000021000000}"/>
    <cellStyle name="Normal 2 3 2 2 2 2 2 3" xfId="429" xr:uid="{00000000-0005-0000-0000-000022000000}"/>
    <cellStyle name="Normal 2 3 2 2 2 2 2 4" xfId="249" xr:uid="{00000000-0005-0000-0000-000023000000}"/>
    <cellStyle name="Normal 2 3 2 2 2 2 3" xfId="207" xr:uid="{00000000-0005-0000-0000-000024000000}"/>
    <cellStyle name="Normal 2 3 2 2 2 2 4" xfId="309" xr:uid="{00000000-0005-0000-0000-000025000000}"/>
    <cellStyle name="Normal 2 3 2 2 2 2 5" xfId="389" xr:uid="{00000000-0005-0000-0000-000026000000}"/>
    <cellStyle name="Normal 2 3 2 2 2 2 6" xfId="147" xr:uid="{00000000-0005-0000-0000-000027000000}"/>
    <cellStyle name="Normal 2 3 2 2 2 3" xfId="84" xr:uid="{00000000-0005-0000-0000-000028000000}"/>
    <cellStyle name="Normal 2 3 2 2 2 3 2" xfId="289" xr:uid="{00000000-0005-0000-0000-000029000000}"/>
    <cellStyle name="Normal 2 3 2 2 2 3 3" xfId="409" xr:uid="{00000000-0005-0000-0000-00002A000000}"/>
    <cellStyle name="Normal 2 3 2 2 2 3 4" xfId="187" xr:uid="{00000000-0005-0000-0000-00002B000000}"/>
    <cellStyle name="Normal 2 3 2 2 2 4" xfId="229" xr:uid="{00000000-0005-0000-0000-00002C000000}"/>
    <cellStyle name="Normal 2 3 2 2 2 4 2" xfId="329" xr:uid="{00000000-0005-0000-0000-00002D000000}"/>
    <cellStyle name="Normal 2 3 2 2 2 5" xfId="167" xr:uid="{00000000-0005-0000-0000-00002E000000}"/>
    <cellStyle name="Normal 2 3 2 2 2 6" xfId="269" xr:uid="{00000000-0005-0000-0000-00002F000000}"/>
    <cellStyle name="Normal 2 3 2 2 2 7" xfId="369" xr:uid="{00000000-0005-0000-0000-000030000000}"/>
    <cellStyle name="Normal 2 3 2 2 2 8" xfId="127" xr:uid="{00000000-0005-0000-0000-000031000000}"/>
    <cellStyle name="Normal 2 3 2 2 3" xfId="54" xr:uid="{00000000-0005-0000-0000-000032000000}"/>
    <cellStyle name="Normal 2 3 2 2 3 2" xfId="94" xr:uid="{00000000-0005-0000-0000-000033000000}"/>
    <cellStyle name="Normal 2 3 2 2 3 2 2" xfId="339" xr:uid="{00000000-0005-0000-0000-000034000000}"/>
    <cellStyle name="Normal 2 3 2 2 3 2 3" xfId="419" xr:uid="{00000000-0005-0000-0000-000035000000}"/>
    <cellStyle name="Normal 2 3 2 2 3 2 4" xfId="239" xr:uid="{00000000-0005-0000-0000-000036000000}"/>
    <cellStyle name="Normal 2 3 2 2 3 3" xfId="197" xr:uid="{00000000-0005-0000-0000-000037000000}"/>
    <cellStyle name="Normal 2 3 2 2 3 4" xfId="299" xr:uid="{00000000-0005-0000-0000-000038000000}"/>
    <cellStyle name="Normal 2 3 2 2 3 5" xfId="379" xr:uid="{00000000-0005-0000-0000-000039000000}"/>
    <cellStyle name="Normal 2 3 2 2 3 6" xfId="137" xr:uid="{00000000-0005-0000-0000-00003A000000}"/>
    <cellStyle name="Normal 2 3 2 2 4" xfId="74" xr:uid="{00000000-0005-0000-0000-00003B000000}"/>
    <cellStyle name="Normal 2 3 2 2 4 2" xfId="279" xr:uid="{00000000-0005-0000-0000-00003C000000}"/>
    <cellStyle name="Normal 2 3 2 2 4 3" xfId="399" xr:uid="{00000000-0005-0000-0000-00003D000000}"/>
    <cellStyle name="Normal 2 3 2 2 4 4" xfId="177" xr:uid="{00000000-0005-0000-0000-00003E000000}"/>
    <cellStyle name="Normal 2 3 2 2 5" xfId="219" xr:uid="{00000000-0005-0000-0000-00003F000000}"/>
    <cellStyle name="Normal 2 3 2 2 5 2" xfId="319" xr:uid="{00000000-0005-0000-0000-000040000000}"/>
    <cellStyle name="Normal 2 3 2 2 6" xfId="157" xr:uid="{00000000-0005-0000-0000-000041000000}"/>
    <cellStyle name="Normal 2 3 2 2 7" xfId="259" xr:uid="{00000000-0005-0000-0000-000042000000}"/>
    <cellStyle name="Normal 2 3 2 2 8" xfId="359" xr:uid="{00000000-0005-0000-0000-000043000000}"/>
    <cellStyle name="Normal 2 3 2 2 9" xfId="117" xr:uid="{00000000-0005-0000-0000-000044000000}"/>
    <cellStyle name="Normal 2 3 2 3" xfId="39" xr:uid="{00000000-0005-0000-0000-000045000000}"/>
    <cellStyle name="Normal 2 3 2 3 2" xfId="59" xr:uid="{00000000-0005-0000-0000-000046000000}"/>
    <cellStyle name="Normal 2 3 2 3 2 2" xfId="99" xr:uid="{00000000-0005-0000-0000-000047000000}"/>
    <cellStyle name="Normal 2 3 2 3 2 2 2" xfId="344" xr:uid="{00000000-0005-0000-0000-000048000000}"/>
    <cellStyle name="Normal 2 3 2 3 2 2 3" xfId="424" xr:uid="{00000000-0005-0000-0000-000049000000}"/>
    <cellStyle name="Normal 2 3 2 3 2 2 4" xfId="244" xr:uid="{00000000-0005-0000-0000-00004A000000}"/>
    <cellStyle name="Normal 2 3 2 3 2 3" xfId="202" xr:uid="{00000000-0005-0000-0000-00004B000000}"/>
    <cellStyle name="Normal 2 3 2 3 2 4" xfId="304" xr:uid="{00000000-0005-0000-0000-00004C000000}"/>
    <cellStyle name="Normal 2 3 2 3 2 5" xfId="384" xr:uid="{00000000-0005-0000-0000-00004D000000}"/>
    <cellStyle name="Normal 2 3 2 3 2 6" xfId="142" xr:uid="{00000000-0005-0000-0000-00004E000000}"/>
    <cellStyle name="Normal 2 3 2 3 3" xfId="79" xr:uid="{00000000-0005-0000-0000-00004F000000}"/>
    <cellStyle name="Normal 2 3 2 3 3 2" xfId="284" xr:uid="{00000000-0005-0000-0000-000050000000}"/>
    <cellStyle name="Normal 2 3 2 3 3 3" xfId="404" xr:uid="{00000000-0005-0000-0000-000051000000}"/>
    <cellStyle name="Normal 2 3 2 3 3 4" xfId="182" xr:uid="{00000000-0005-0000-0000-000052000000}"/>
    <cellStyle name="Normal 2 3 2 3 4" xfId="224" xr:uid="{00000000-0005-0000-0000-000053000000}"/>
    <cellStyle name="Normal 2 3 2 3 4 2" xfId="324" xr:uid="{00000000-0005-0000-0000-000054000000}"/>
    <cellStyle name="Normal 2 3 2 3 5" xfId="162" xr:uid="{00000000-0005-0000-0000-000055000000}"/>
    <cellStyle name="Normal 2 3 2 3 6" xfId="264" xr:uid="{00000000-0005-0000-0000-000056000000}"/>
    <cellStyle name="Normal 2 3 2 3 7" xfId="364" xr:uid="{00000000-0005-0000-0000-000057000000}"/>
    <cellStyle name="Normal 2 3 2 3 8" xfId="122" xr:uid="{00000000-0005-0000-0000-000058000000}"/>
    <cellStyle name="Normal 2 3 2 4" xfId="49" xr:uid="{00000000-0005-0000-0000-000059000000}"/>
    <cellStyle name="Normal 2 3 2 4 2" xfId="89" xr:uid="{00000000-0005-0000-0000-00005A000000}"/>
    <cellStyle name="Normal 2 3 2 4 2 2" xfId="334" xr:uid="{00000000-0005-0000-0000-00005B000000}"/>
    <cellStyle name="Normal 2 3 2 4 2 3" xfId="414" xr:uid="{00000000-0005-0000-0000-00005C000000}"/>
    <cellStyle name="Normal 2 3 2 4 2 4" xfId="234" xr:uid="{00000000-0005-0000-0000-00005D000000}"/>
    <cellStyle name="Normal 2 3 2 4 3" xfId="192" xr:uid="{00000000-0005-0000-0000-00005E000000}"/>
    <cellStyle name="Normal 2 3 2 4 4" xfId="294" xr:uid="{00000000-0005-0000-0000-00005F000000}"/>
    <cellStyle name="Normal 2 3 2 4 5" xfId="374" xr:uid="{00000000-0005-0000-0000-000060000000}"/>
    <cellStyle name="Normal 2 3 2 4 6" xfId="132" xr:uid="{00000000-0005-0000-0000-000061000000}"/>
    <cellStyle name="Normal 2 3 2 5" xfId="69" xr:uid="{00000000-0005-0000-0000-000062000000}"/>
    <cellStyle name="Normal 2 3 2 5 2" xfId="274" xr:uid="{00000000-0005-0000-0000-000063000000}"/>
    <cellStyle name="Normal 2 3 2 5 3" xfId="394" xr:uid="{00000000-0005-0000-0000-000064000000}"/>
    <cellStyle name="Normal 2 3 2 5 4" xfId="172" xr:uid="{00000000-0005-0000-0000-000065000000}"/>
    <cellStyle name="Normal 2 3 2 6" xfId="213" xr:uid="{00000000-0005-0000-0000-000066000000}"/>
    <cellStyle name="Normal 2 3 2 6 2" xfId="314" xr:uid="{00000000-0005-0000-0000-000067000000}"/>
    <cellStyle name="Normal 2 3 2 7" xfId="152" xr:uid="{00000000-0005-0000-0000-000068000000}"/>
    <cellStyle name="Normal 2 3 2 8" xfId="254" xr:uid="{00000000-0005-0000-0000-000069000000}"/>
    <cellStyle name="Normal 2 3 2 9" xfId="354" xr:uid="{00000000-0005-0000-0000-00006A000000}"/>
    <cellStyle name="Normal 2 3 3" xfId="33" xr:uid="{00000000-0005-0000-0000-00006B000000}"/>
    <cellStyle name="Normal 2 3 3 2" xfId="43" xr:uid="{00000000-0005-0000-0000-00006C000000}"/>
    <cellStyle name="Normal 2 3 3 2 2" xfId="63" xr:uid="{00000000-0005-0000-0000-00006D000000}"/>
    <cellStyle name="Normal 2 3 3 2 2 2" xfId="103" xr:uid="{00000000-0005-0000-0000-00006E000000}"/>
    <cellStyle name="Normal 2 3 3 2 2 2 2" xfId="348" xr:uid="{00000000-0005-0000-0000-00006F000000}"/>
    <cellStyle name="Normal 2 3 3 2 2 2 3" xfId="428" xr:uid="{00000000-0005-0000-0000-000070000000}"/>
    <cellStyle name="Normal 2 3 3 2 2 2 4" xfId="248" xr:uid="{00000000-0005-0000-0000-000071000000}"/>
    <cellStyle name="Normal 2 3 3 2 2 3" xfId="206" xr:uid="{00000000-0005-0000-0000-000072000000}"/>
    <cellStyle name="Normal 2 3 3 2 2 4" xfId="308" xr:uid="{00000000-0005-0000-0000-000073000000}"/>
    <cellStyle name="Normal 2 3 3 2 2 5" xfId="388" xr:uid="{00000000-0005-0000-0000-000074000000}"/>
    <cellStyle name="Normal 2 3 3 2 2 6" xfId="146" xr:uid="{00000000-0005-0000-0000-000075000000}"/>
    <cellStyle name="Normal 2 3 3 2 3" xfId="83" xr:uid="{00000000-0005-0000-0000-000076000000}"/>
    <cellStyle name="Normal 2 3 3 2 3 2" xfId="288" xr:uid="{00000000-0005-0000-0000-000077000000}"/>
    <cellStyle name="Normal 2 3 3 2 3 3" xfId="408" xr:uid="{00000000-0005-0000-0000-000078000000}"/>
    <cellStyle name="Normal 2 3 3 2 3 4" xfId="186" xr:uid="{00000000-0005-0000-0000-000079000000}"/>
    <cellStyle name="Normal 2 3 3 2 4" xfId="228" xr:uid="{00000000-0005-0000-0000-00007A000000}"/>
    <cellStyle name="Normal 2 3 3 2 4 2" xfId="328" xr:uid="{00000000-0005-0000-0000-00007B000000}"/>
    <cellStyle name="Normal 2 3 3 2 5" xfId="166" xr:uid="{00000000-0005-0000-0000-00007C000000}"/>
    <cellStyle name="Normal 2 3 3 2 6" xfId="268" xr:uid="{00000000-0005-0000-0000-00007D000000}"/>
    <cellStyle name="Normal 2 3 3 2 7" xfId="368" xr:uid="{00000000-0005-0000-0000-00007E000000}"/>
    <cellStyle name="Normal 2 3 3 2 8" xfId="126" xr:uid="{00000000-0005-0000-0000-00007F000000}"/>
    <cellStyle name="Normal 2 3 3 3" xfId="53" xr:uid="{00000000-0005-0000-0000-000080000000}"/>
    <cellStyle name="Normal 2 3 3 3 2" xfId="93" xr:uid="{00000000-0005-0000-0000-000081000000}"/>
    <cellStyle name="Normal 2 3 3 3 2 2" xfId="338" xr:uid="{00000000-0005-0000-0000-000082000000}"/>
    <cellStyle name="Normal 2 3 3 3 2 3" xfId="418" xr:uid="{00000000-0005-0000-0000-000083000000}"/>
    <cellStyle name="Normal 2 3 3 3 2 4" xfId="238" xr:uid="{00000000-0005-0000-0000-000084000000}"/>
    <cellStyle name="Normal 2 3 3 3 3" xfId="196" xr:uid="{00000000-0005-0000-0000-000085000000}"/>
    <cellStyle name="Normal 2 3 3 3 4" xfId="298" xr:uid="{00000000-0005-0000-0000-000086000000}"/>
    <cellStyle name="Normal 2 3 3 3 5" xfId="378" xr:uid="{00000000-0005-0000-0000-000087000000}"/>
    <cellStyle name="Normal 2 3 3 3 6" xfId="136" xr:uid="{00000000-0005-0000-0000-000088000000}"/>
    <cellStyle name="Normal 2 3 3 4" xfId="73" xr:uid="{00000000-0005-0000-0000-000089000000}"/>
    <cellStyle name="Normal 2 3 3 4 2" xfId="278" xr:uid="{00000000-0005-0000-0000-00008A000000}"/>
    <cellStyle name="Normal 2 3 3 4 3" xfId="398" xr:uid="{00000000-0005-0000-0000-00008B000000}"/>
    <cellStyle name="Normal 2 3 3 4 4" xfId="176" xr:uid="{00000000-0005-0000-0000-00008C000000}"/>
    <cellStyle name="Normal 2 3 3 5" xfId="218" xr:uid="{00000000-0005-0000-0000-00008D000000}"/>
    <cellStyle name="Normal 2 3 3 5 2" xfId="318" xr:uid="{00000000-0005-0000-0000-00008E000000}"/>
    <cellStyle name="Normal 2 3 3 6" xfId="156" xr:uid="{00000000-0005-0000-0000-00008F000000}"/>
    <cellStyle name="Normal 2 3 3 7" xfId="258" xr:uid="{00000000-0005-0000-0000-000090000000}"/>
    <cellStyle name="Normal 2 3 3 8" xfId="358" xr:uid="{00000000-0005-0000-0000-000091000000}"/>
    <cellStyle name="Normal 2 3 3 9" xfId="116" xr:uid="{00000000-0005-0000-0000-000092000000}"/>
    <cellStyle name="Normal 2 3 4" xfId="38" xr:uid="{00000000-0005-0000-0000-000093000000}"/>
    <cellStyle name="Normal 2 3 4 2" xfId="58" xr:uid="{00000000-0005-0000-0000-000094000000}"/>
    <cellStyle name="Normal 2 3 4 2 2" xfId="98" xr:uid="{00000000-0005-0000-0000-000095000000}"/>
    <cellStyle name="Normal 2 3 4 2 2 2" xfId="343" xr:uid="{00000000-0005-0000-0000-000096000000}"/>
    <cellStyle name="Normal 2 3 4 2 2 3" xfId="423" xr:uid="{00000000-0005-0000-0000-000097000000}"/>
    <cellStyle name="Normal 2 3 4 2 2 4" xfId="243" xr:uid="{00000000-0005-0000-0000-000098000000}"/>
    <cellStyle name="Normal 2 3 4 2 3" xfId="201" xr:uid="{00000000-0005-0000-0000-000099000000}"/>
    <cellStyle name="Normal 2 3 4 2 4" xfId="303" xr:uid="{00000000-0005-0000-0000-00009A000000}"/>
    <cellStyle name="Normal 2 3 4 2 5" xfId="383" xr:uid="{00000000-0005-0000-0000-00009B000000}"/>
    <cellStyle name="Normal 2 3 4 2 6" xfId="141" xr:uid="{00000000-0005-0000-0000-00009C000000}"/>
    <cellStyle name="Normal 2 3 4 3" xfId="78" xr:uid="{00000000-0005-0000-0000-00009D000000}"/>
    <cellStyle name="Normal 2 3 4 3 2" xfId="283" xr:uid="{00000000-0005-0000-0000-00009E000000}"/>
    <cellStyle name="Normal 2 3 4 3 3" xfId="403" xr:uid="{00000000-0005-0000-0000-00009F000000}"/>
    <cellStyle name="Normal 2 3 4 3 4" xfId="181" xr:uid="{00000000-0005-0000-0000-0000A0000000}"/>
    <cellStyle name="Normal 2 3 4 4" xfId="223" xr:uid="{00000000-0005-0000-0000-0000A1000000}"/>
    <cellStyle name="Normal 2 3 4 4 2" xfId="323" xr:uid="{00000000-0005-0000-0000-0000A2000000}"/>
    <cellStyle name="Normal 2 3 4 5" xfId="161" xr:uid="{00000000-0005-0000-0000-0000A3000000}"/>
    <cellStyle name="Normal 2 3 4 6" xfId="263" xr:uid="{00000000-0005-0000-0000-0000A4000000}"/>
    <cellStyle name="Normal 2 3 4 7" xfId="363" xr:uid="{00000000-0005-0000-0000-0000A5000000}"/>
    <cellStyle name="Normal 2 3 4 8" xfId="121" xr:uid="{00000000-0005-0000-0000-0000A6000000}"/>
    <cellStyle name="Normal 2 3 5" xfId="48" xr:uid="{00000000-0005-0000-0000-0000A7000000}"/>
    <cellStyle name="Normal 2 3 5 2" xfId="88" xr:uid="{00000000-0005-0000-0000-0000A8000000}"/>
    <cellStyle name="Normal 2 3 5 2 2" xfId="333" xr:uid="{00000000-0005-0000-0000-0000A9000000}"/>
    <cellStyle name="Normal 2 3 5 2 3" xfId="413" xr:uid="{00000000-0005-0000-0000-0000AA000000}"/>
    <cellStyle name="Normal 2 3 5 2 4" xfId="233" xr:uid="{00000000-0005-0000-0000-0000AB000000}"/>
    <cellStyle name="Normal 2 3 5 3" xfId="191" xr:uid="{00000000-0005-0000-0000-0000AC000000}"/>
    <cellStyle name="Normal 2 3 5 4" xfId="293" xr:uid="{00000000-0005-0000-0000-0000AD000000}"/>
    <cellStyle name="Normal 2 3 5 5" xfId="373" xr:uid="{00000000-0005-0000-0000-0000AE000000}"/>
    <cellStyle name="Normal 2 3 5 6" xfId="131" xr:uid="{00000000-0005-0000-0000-0000AF000000}"/>
    <cellStyle name="Normal 2 3 6" xfId="68" xr:uid="{00000000-0005-0000-0000-0000B0000000}"/>
    <cellStyle name="Normal 2 3 6 2" xfId="273" xr:uid="{00000000-0005-0000-0000-0000B1000000}"/>
    <cellStyle name="Normal 2 3 6 3" xfId="393" xr:uid="{00000000-0005-0000-0000-0000B2000000}"/>
    <cellStyle name="Normal 2 3 6 4" xfId="171" xr:uid="{00000000-0005-0000-0000-0000B3000000}"/>
    <cellStyle name="Normal 2 3 7" xfId="212" xr:uid="{00000000-0005-0000-0000-0000B4000000}"/>
    <cellStyle name="Normal 2 3 7 2" xfId="313" xr:uid="{00000000-0005-0000-0000-0000B5000000}"/>
    <cellStyle name="Normal 2 3 8" xfId="151" xr:uid="{00000000-0005-0000-0000-0000B6000000}"/>
    <cellStyle name="Normal 2 3 9" xfId="253" xr:uid="{00000000-0005-0000-0000-0000B7000000}"/>
    <cellStyle name="Normal 2 4" xfId="10" xr:uid="{00000000-0005-0000-0000-0000B8000000}"/>
    <cellStyle name="Normal 2 4 10" xfId="109" xr:uid="{00000000-0005-0000-0000-0000B9000000}"/>
    <cellStyle name="Normal 2 4 11" xfId="470" xr:uid="{1EBD72EB-0B15-4017-92D5-D90A82CCD265}"/>
    <cellStyle name="Normal 2 4 2" xfId="31" xr:uid="{00000000-0005-0000-0000-0000BA000000}"/>
    <cellStyle name="Normal 2 4 2 2" xfId="41" xr:uid="{00000000-0005-0000-0000-0000BB000000}"/>
    <cellStyle name="Normal 2 4 2 2 2" xfId="61" xr:uid="{00000000-0005-0000-0000-0000BC000000}"/>
    <cellStyle name="Normal 2 4 2 2 2 2" xfId="101" xr:uid="{00000000-0005-0000-0000-0000BD000000}"/>
    <cellStyle name="Normal 2 4 2 2 2 2 2" xfId="346" xr:uid="{00000000-0005-0000-0000-0000BE000000}"/>
    <cellStyle name="Normal 2 4 2 2 2 2 3" xfId="426" xr:uid="{00000000-0005-0000-0000-0000BF000000}"/>
    <cellStyle name="Normal 2 4 2 2 2 2 4" xfId="246" xr:uid="{00000000-0005-0000-0000-0000C0000000}"/>
    <cellStyle name="Normal 2 4 2 2 2 3" xfId="204" xr:uid="{00000000-0005-0000-0000-0000C1000000}"/>
    <cellStyle name="Normal 2 4 2 2 2 4" xfId="306" xr:uid="{00000000-0005-0000-0000-0000C2000000}"/>
    <cellStyle name="Normal 2 4 2 2 2 5" xfId="386" xr:uid="{00000000-0005-0000-0000-0000C3000000}"/>
    <cellStyle name="Normal 2 4 2 2 2 6" xfId="144" xr:uid="{00000000-0005-0000-0000-0000C4000000}"/>
    <cellStyle name="Normal 2 4 2 2 3" xfId="81" xr:uid="{00000000-0005-0000-0000-0000C5000000}"/>
    <cellStyle name="Normal 2 4 2 2 3 2" xfId="286" xr:uid="{00000000-0005-0000-0000-0000C6000000}"/>
    <cellStyle name="Normal 2 4 2 2 3 3" xfId="406" xr:uid="{00000000-0005-0000-0000-0000C7000000}"/>
    <cellStyle name="Normal 2 4 2 2 3 4" xfId="184" xr:uid="{00000000-0005-0000-0000-0000C8000000}"/>
    <cellStyle name="Normal 2 4 2 2 4" xfId="226" xr:uid="{00000000-0005-0000-0000-0000C9000000}"/>
    <cellStyle name="Normal 2 4 2 2 4 2" xfId="326" xr:uid="{00000000-0005-0000-0000-0000CA000000}"/>
    <cellStyle name="Normal 2 4 2 2 5" xfId="164" xr:uid="{00000000-0005-0000-0000-0000CB000000}"/>
    <cellStyle name="Normal 2 4 2 2 6" xfId="266" xr:uid="{00000000-0005-0000-0000-0000CC000000}"/>
    <cellStyle name="Normal 2 4 2 2 7" xfId="366" xr:uid="{00000000-0005-0000-0000-0000CD000000}"/>
    <cellStyle name="Normal 2 4 2 2 8" xfId="124" xr:uid="{00000000-0005-0000-0000-0000CE000000}"/>
    <cellStyle name="Normal 2 4 2 3" xfId="51" xr:uid="{00000000-0005-0000-0000-0000CF000000}"/>
    <cellStyle name="Normal 2 4 2 3 2" xfId="91" xr:uid="{00000000-0005-0000-0000-0000D0000000}"/>
    <cellStyle name="Normal 2 4 2 3 2 2" xfId="336" xr:uid="{00000000-0005-0000-0000-0000D1000000}"/>
    <cellStyle name="Normal 2 4 2 3 2 3" xfId="416" xr:uid="{00000000-0005-0000-0000-0000D2000000}"/>
    <cellStyle name="Normal 2 4 2 3 2 4" xfId="236" xr:uid="{00000000-0005-0000-0000-0000D3000000}"/>
    <cellStyle name="Normal 2 4 2 3 3" xfId="194" xr:uid="{00000000-0005-0000-0000-0000D4000000}"/>
    <cellStyle name="Normal 2 4 2 3 4" xfId="296" xr:uid="{00000000-0005-0000-0000-0000D5000000}"/>
    <cellStyle name="Normal 2 4 2 3 5" xfId="376" xr:uid="{00000000-0005-0000-0000-0000D6000000}"/>
    <cellStyle name="Normal 2 4 2 3 6" xfId="134" xr:uid="{00000000-0005-0000-0000-0000D7000000}"/>
    <cellStyle name="Normal 2 4 2 4" xfId="71" xr:uid="{00000000-0005-0000-0000-0000D8000000}"/>
    <cellStyle name="Normal 2 4 2 4 2" xfId="276" xr:uid="{00000000-0005-0000-0000-0000D9000000}"/>
    <cellStyle name="Normal 2 4 2 4 3" xfId="396" xr:uid="{00000000-0005-0000-0000-0000DA000000}"/>
    <cellStyle name="Normal 2 4 2 4 4" xfId="174" xr:uid="{00000000-0005-0000-0000-0000DB000000}"/>
    <cellStyle name="Normal 2 4 2 5" xfId="216" xr:uid="{00000000-0005-0000-0000-0000DC000000}"/>
    <cellStyle name="Normal 2 4 2 5 2" xfId="316" xr:uid="{00000000-0005-0000-0000-0000DD000000}"/>
    <cellStyle name="Normal 2 4 2 6" xfId="154" xr:uid="{00000000-0005-0000-0000-0000DE000000}"/>
    <cellStyle name="Normal 2 4 2 7" xfId="256" xr:uid="{00000000-0005-0000-0000-0000DF000000}"/>
    <cellStyle name="Normal 2 4 2 8" xfId="356" xr:uid="{00000000-0005-0000-0000-0000E0000000}"/>
    <cellStyle name="Normal 2 4 2 9" xfId="114" xr:uid="{00000000-0005-0000-0000-0000E1000000}"/>
    <cellStyle name="Normal 2 4 3" xfId="36" xr:uid="{00000000-0005-0000-0000-0000E2000000}"/>
    <cellStyle name="Normal 2 4 3 2" xfId="56" xr:uid="{00000000-0005-0000-0000-0000E3000000}"/>
    <cellStyle name="Normal 2 4 3 2 2" xfId="96" xr:uid="{00000000-0005-0000-0000-0000E4000000}"/>
    <cellStyle name="Normal 2 4 3 2 2 2" xfId="341" xr:uid="{00000000-0005-0000-0000-0000E5000000}"/>
    <cellStyle name="Normal 2 4 3 2 2 3" xfId="421" xr:uid="{00000000-0005-0000-0000-0000E6000000}"/>
    <cellStyle name="Normal 2 4 3 2 2 4" xfId="241" xr:uid="{00000000-0005-0000-0000-0000E7000000}"/>
    <cellStyle name="Normal 2 4 3 2 3" xfId="199" xr:uid="{00000000-0005-0000-0000-0000E8000000}"/>
    <cellStyle name="Normal 2 4 3 2 4" xfId="301" xr:uid="{00000000-0005-0000-0000-0000E9000000}"/>
    <cellStyle name="Normal 2 4 3 2 5" xfId="381" xr:uid="{00000000-0005-0000-0000-0000EA000000}"/>
    <cellStyle name="Normal 2 4 3 2 6" xfId="139" xr:uid="{00000000-0005-0000-0000-0000EB000000}"/>
    <cellStyle name="Normal 2 4 3 3" xfId="76" xr:uid="{00000000-0005-0000-0000-0000EC000000}"/>
    <cellStyle name="Normal 2 4 3 3 2" xfId="281" xr:uid="{00000000-0005-0000-0000-0000ED000000}"/>
    <cellStyle name="Normal 2 4 3 3 3" xfId="401" xr:uid="{00000000-0005-0000-0000-0000EE000000}"/>
    <cellStyle name="Normal 2 4 3 3 4" xfId="179" xr:uid="{00000000-0005-0000-0000-0000EF000000}"/>
    <cellStyle name="Normal 2 4 3 4" xfId="221" xr:uid="{00000000-0005-0000-0000-0000F0000000}"/>
    <cellStyle name="Normal 2 4 3 4 2" xfId="321" xr:uid="{00000000-0005-0000-0000-0000F1000000}"/>
    <cellStyle name="Normal 2 4 3 5" xfId="159" xr:uid="{00000000-0005-0000-0000-0000F2000000}"/>
    <cellStyle name="Normal 2 4 3 6" xfId="261" xr:uid="{00000000-0005-0000-0000-0000F3000000}"/>
    <cellStyle name="Normal 2 4 3 7" xfId="361" xr:uid="{00000000-0005-0000-0000-0000F4000000}"/>
    <cellStyle name="Normal 2 4 3 8" xfId="119" xr:uid="{00000000-0005-0000-0000-0000F5000000}"/>
    <cellStyle name="Normal 2 4 4" xfId="46" xr:uid="{00000000-0005-0000-0000-0000F6000000}"/>
    <cellStyle name="Normal 2 4 4 2" xfId="86" xr:uid="{00000000-0005-0000-0000-0000F7000000}"/>
    <cellStyle name="Normal 2 4 4 2 2" xfId="331" xr:uid="{00000000-0005-0000-0000-0000F8000000}"/>
    <cellStyle name="Normal 2 4 4 2 3" xfId="411" xr:uid="{00000000-0005-0000-0000-0000F9000000}"/>
    <cellStyle name="Normal 2 4 4 2 4" xfId="231" xr:uid="{00000000-0005-0000-0000-0000FA000000}"/>
    <cellStyle name="Normal 2 4 4 3" xfId="189" xr:uid="{00000000-0005-0000-0000-0000FB000000}"/>
    <cellStyle name="Normal 2 4 4 4" xfId="291" xr:uid="{00000000-0005-0000-0000-0000FC000000}"/>
    <cellStyle name="Normal 2 4 4 5" xfId="371" xr:uid="{00000000-0005-0000-0000-0000FD000000}"/>
    <cellStyle name="Normal 2 4 4 6" xfId="129" xr:uid="{00000000-0005-0000-0000-0000FE000000}"/>
    <cellStyle name="Normal 2 4 5" xfId="66" xr:uid="{00000000-0005-0000-0000-0000FF000000}"/>
    <cellStyle name="Normal 2 4 5 2" xfId="271" xr:uid="{00000000-0005-0000-0000-000000010000}"/>
    <cellStyle name="Normal 2 4 5 3" xfId="391" xr:uid="{00000000-0005-0000-0000-000001010000}"/>
    <cellStyle name="Normal 2 4 5 4" xfId="169" xr:uid="{00000000-0005-0000-0000-000002010000}"/>
    <cellStyle name="Normal 2 4 6" xfId="209" xr:uid="{00000000-0005-0000-0000-000003010000}"/>
    <cellStyle name="Normal 2 4 6 2" xfId="311" xr:uid="{00000000-0005-0000-0000-000004010000}"/>
    <cellStyle name="Normal 2 4 7" xfId="149" xr:uid="{00000000-0005-0000-0000-000005010000}"/>
    <cellStyle name="Normal 2 4 8" xfId="251" xr:uid="{00000000-0005-0000-0000-000006010000}"/>
    <cellStyle name="Normal 2 4 9" xfId="351" xr:uid="{00000000-0005-0000-0000-000007010000}"/>
    <cellStyle name="Normal 2 5" xfId="28" xr:uid="{00000000-0005-0000-0000-000008010000}"/>
    <cellStyle name="Normal 2 5 2" xfId="40" xr:uid="{00000000-0005-0000-0000-000009010000}"/>
    <cellStyle name="Normal 2 5 2 2" xfId="60" xr:uid="{00000000-0005-0000-0000-00000A010000}"/>
    <cellStyle name="Normal 2 5 2 2 2" xfId="100" xr:uid="{00000000-0005-0000-0000-00000B010000}"/>
    <cellStyle name="Normal 2 5 2 2 2 2" xfId="345" xr:uid="{00000000-0005-0000-0000-00000C010000}"/>
    <cellStyle name="Normal 2 5 2 2 2 3" xfId="425" xr:uid="{00000000-0005-0000-0000-00000D010000}"/>
    <cellStyle name="Normal 2 5 2 2 2 4" xfId="245" xr:uid="{00000000-0005-0000-0000-00000E010000}"/>
    <cellStyle name="Normal 2 5 2 2 3" xfId="203" xr:uid="{00000000-0005-0000-0000-00000F010000}"/>
    <cellStyle name="Normal 2 5 2 2 4" xfId="305" xr:uid="{00000000-0005-0000-0000-000010010000}"/>
    <cellStyle name="Normal 2 5 2 2 5" xfId="385" xr:uid="{00000000-0005-0000-0000-000011010000}"/>
    <cellStyle name="Normal 2 5 2 2 6" xfId="143" xr:uid="{00000000-0005-0000-0000-000012010000}"/>
    <cellStyle name="Normal 2 5 2 3" xfId="80" xr:uid="{00000000-0005-0000-0000-000013010000}"/>
    <cellStyle name="Normal 2 5 2 3 2" xfId="285" xr:uid="{00000000-0005-0000-0000-000014010000}"/>
    <cellStyle name="Normal 2 5 2 3 3" xfId="405" xr:uid="{00000000-0005-0000-0000-000015010000}"/>
    <cellStyle name="Normal 2 5 2 3 4" xfId="183" xr:uid="{00000000-0005-0000-0000-000016010000}"/>
    <cellStyle name="Normal 2 5 2 4" xfId="225" xr:uid="{00000000-0005-0000-0000-000017010000}"/>
    <cellStyle name="Normal 2 5 2 4 2" xfId="325" xr:uid="{00000000-0005-0000-0000-000018010000}"/>
    <cellStyle name="Normal 2 5 2 5" xfId="163" xr:uid="{00000000-0005-0000-0000-000019010000}"/>
    <cellStyle name="Normal 2 5 2 6" xfId="265" xr:uid="{00000000-0005-0000-0000-00001A010000}"/>
    <cellStyle name="Normal 2 5 2 7" xfId="365" xr:uid="{00000000-0005-0000-0000-00001B010000}"/>
    <cellStyle name="Normal 2 5 2 8" xfId="123" xr:uid="{00000000-0005-0000-0000-00001C010000}"/>
    <cellStyle name="Normal 2 5 3" xfId="50" xr:uid="{00000000-0005-0000-0000-00001D010000}"/>
    <cellStyle name="Normal 2 5 3 2" xfId="90" xr:uid="{00000000-0005-0000-0000-00001E010000}"/>
    <cellStyle name="Normal 2 5 3 2 2" xfId="335" xr:uid="{00000000-0005-0000-0000-00001F010000}"/>
    <cellStyle name="Normal 2 5 3 2 3" xfId="415" xr:uid="{00000000-0005-0000-0000-000020010000}"/>
    <cellStyle name="Normal 2 5 3 2 4" xfId="235" xr:uid="{00000000-0005-0000-0000-000021010000}"/>
    <cellStyle name="Normal 2 5 3 3" xfId="193" xr:uid="{00000000-0005-0000-0000-000022010000}"/>
    <cellStyle name="Normal 2 5 3 4" xfId="295" xr:uid="{00000000-0005-0000-0000-000023010000}"/>
    <cellStyle name="Normal 2 5 3 5" xfId="375" xr:uid="{00000000-0005-0000-0000-000024010000}"/>
    <cellStyle name="Normal 2 5 3 6" xfId="133" xr:uid="{00000000-0005-0000-0000-000025010000}"/>
    <cellStyle name="Normal 2 5 4" xfId="70" xr:uid="{00000000-0005-0000-0000-000026010000}"/>
    <cellStyle name="Normal 2 5 4 2" xfId="275" xr:uid="{00000000-0005-0000-0000-000027010000}"/>
    <cellStyle name="Normal 2 5 4 3" xfId="395" xr:uid="{00000000-0005-0000-0000-000028010000}"/>
    <cellStyle name="Normal 2 5 4 4" xfId="173" xr:uid="{00000000-0005-0000-0000-000029010000}"/>
    <cellStyle name="Normal 2 5 5" xfId="215" xr:uid="{00000000-0005-0000-0000-00002A010000}"/>
    <cellStyle name="Normal 2 5 5 2" xfId="315" xr:uid="{00000000-0005-0000-0000-00002B010000}"/>
    <cellStyle name="Normal 2 5 6" xfId="153" xr:uid="{00000000-0005-0000-0000-00002C010000}"/>
    <cellStyle name="Normal 2 5 7" xfId="255" xr:uid="{00000000-0005-0000-0000-00002D010000}"/>
    <cellStyle name="Normal 2 5 8" xfId="355" xr:uid="{00000000-0005-0000-0000-00002E010000}"/>
    <cellStyle name="Normal 2 5 9" xfId="113" xr:uid="{00000000-0005-0000-0000-00002F010000}"/>
    <cellStyle name="Normal 2 6" xfId="35" xr:uid="{00000000-0005-0000-0000-000030010000}"/>
    <cellStyle name="Normal 2 6 2" xfId="55" xr:uid="{00000000-0005-0000-0000-000031010000}"/>
    <cellStyle name="Normal 2 6 2 2" xfId="95" xr:uid="{00000000-0005-0000-0000-000032010000}"/>
    <cellStyle name="Normal 2 6 2 2 2" xfId="340" xr:uid="{00000000-0005-0000-0000-000033010000}"/>
    <cellStyle name="Normal 2 6 2 2 3" xfId="420" xr:uid="{00000000-0005-0000-0000-000034010000}"/>
    <cellStyle name="Normal 2 6 2 2 4" xfId="240" xr:uid="{00000000-0005-0000-0000-000035010000}"/>
    <cellStyle name="Normal 2 6 2 3" xfId="198" xr:uid="{00000000-0005-0000-0000-000036010000}"/>
    <cellStyle name="Normal 2 6 2 4" xfId="300" xr:uid="{00000000-0005-0000-0000-000037010000}"/>
    <cellStyle name="Normal 2 6 2 5" xfId="380" xr:uid="{00000000-0005-0000-0000-000038010000}"/>
    <cellStyle name="Normal 2 6 2 6" xfId="138" xr:uid="{00000000-0005-0000-0000-000039010000}"/>
    <cellStyle name="Normal 2 6 3" xfId="75" xr:uid="{00000000-0005-0000-0000-00003A010000}"/>
    <cellStyle name="Normal 2 6 3 2" xfId="280" xr:uid="{00000000-0005-0000-0000-00003B010000}"/>
    <cellStyle name="Normal 2 6 3 3" xfId="400" xr:uid="{00000000-0005-0000-0000-00003C010000}"/>
    <cellStyle name="Normal 2 6 3 4" xfId="178" xr:uid="{00000000-0005-0000-0000-00003D010000}"/>
    <cellStyle name="Normal 2 6 4" xfId="220" xr:uid="{00000000-0005-0000-0000-00003E010000}"/>
    <cellStyle name="Normal 2 6 4 2" xfId="320" xr:uid="{00000000-0005-0000-0000-00003F010000}"/>
    <cellStyle name="Normal 2 6 5" xfId="158" xr:uid="{00000000-0005-0000-0000-000040010000}"/>
    <cellStyle name="Normal 2 6 6" xfId="260" xr:uid="{00000000-0005-0000-0000-000041010000}"/>
    <cellStyle name="Normal 2 6 7" xfId="360" xr:uid="{00000000-0005-0000-0000-000042010000}"/>
    <cellStyle name="Normal 2 6 8" xfId="118" xr:uid="{00000000-0005-0000-0000-000043010000}"/>
    <cellStyle name="Normal 2 7" xfId="45" xr:uid="{00000000-0005-0000-0000-000044010000}"/>
    <cellStyle name="Normal 2 7 2" xfId="85" xr:uid="{00000000-0005-0000-0000-000045010000}"/>
    <cellStyle name="Normal 2 7 2 2" xfId="330" xr:uid="{00000000-0005-0000-0000-000046010000}"/>
    <cellStyle name="Normal 2 7 2 3" xfId="410" xr:uid="{00000000-0005-0000-0000-000047010000}"/>
    <cellStyle name="Normal 2 7 2 4" xfId="230" xr:uid="{00000000-0005-0000-0000-000048010000}"/>
    <cellStyle name="Normal 2 7 3" xfId="188" xr:uid="{00000000-0005-0000-0000-000049010000}"/>
    <cellStyle name="Normal 2 7 4" xfId="290" xr:uid="{00000000-0005-0000-0000-00004A010000}"/>
    <cellStyle name="Normal 2 7 5" xfId="370" xr:uid="{00000000-0005-0000-0000-00004B010000}"/>
    <cellStyle name="Normal 2 7 6" xfId="128" xr:uid="{00000000-0005-0000-0000-00004C010000}"/>
    <cellStyle name="Normal 2 8" xfId="65" xr:uid="{00000000-0005-0000-0000-00004D010000}"/>
    <cellStyle name="Normal 2 8 2" xfId="270" xr:uid="{00000000-0005-0000-0000-00004E010000}"/>
    <cellStyle name="Normal 2 8 3" xfId="390" xr:uid="{00000000-0005-0000-0000-00004F010000}"/>
    <cellStyle name="Normal 2 8 4" xfId="168" xr:uid="{00000000-0005-0000-0000-000050010000}"/>
    <cellStyle name="Normal 2 9" xfId="208" xr:uid="{00000000-0005-0000-0000-000051010000}"/>
    <cellStyle name="Normal 2 9 2" xfId="310" xr:uid="{00000000-0005-0000-0000-000052010000}"/>
    <cellStyle name="Normal 3" xfId="8" xr:uid="{00000000-0005-0000-0000-000053010000}"/>
    <cellStyle name="Normal 3 2" xfId="12" xr:uid="{00000000-0005-0000-0000-000054010000}"/>
    <cellStyle name="Normal 3 2 2" xfId="471" xr:uid="{B4AF4A5C-86B4-4599-BDB3-1410527AE70B}"/>
    <cellStyle name="Normal 3 2 3" xfId="459" xr:uid="{47638A6C-E796-478C-A47A-8B96D3C1D00C}"/>
    <cellStyle name="Normal 3 3" xfId="29" xr:uid="{00000000-0005-0000-0000-000055010000}"/>
    <cellStyle name="Normal 3 3 2" xfId="472" xr:uid="{A1798B0F-BCD6-43A3-8055-AB10B048F711}"/>
    <cellStyle name="Normal 3 4" xfId="435" xr:uid="{504CD7CD-52FE-4EB2-90BE-E2E807DD22CD}"/>
    <cellStyle name="Normal 3_DEL RESID Valorizacion 04 - Noviembre" xfId="473" xr:uid="{C1BB94AC-2D7F-40B4-8965-E02548515983}"/>
    <cellStyle name="Normal 4" xfId="16" xr:uid="{00000000-0005-0000-0000-000056010000}"/>
    <cellStyle name="Normal 4 10" xfId="110" xr:uid="{00000000-0005-0000-0000-000057010000}"/>
    <cellStyle name="Normal 4 11" xfId="440" xr:uid="{5AE13406-EE9F-48CC-BC5F-F2A05640ED28}"/>
    <cellStyle name="Normal 4 2" xfId="32" xr:uid="{00000000-0005-0000-0000-000058010000}"/>
    <cellStyle name="Normal 4 2 10" xfId="458" xr:uid="{51B624DF-25C9-4EE3-A43D-172B5C14547D}"/>
    <cellStyle name="Normal 4 2 2" xfId="42" xr:uid="{00000000-0005-0000-0000-000059010000}"/>
    <cellStyle name="Normal 4 2 2 2" xfId="62" xr:uid="{00000000-0005-0000-0000-00005A010000}"/>
    <cellStyle name="Normal 4 2 2 2 2" xfId="102" xr:uid="{00000000-0005-0000-0000-00005B010000}"/>
    <cellStyle name="Normal 4 2 2 2 2 2" xfId="347" xr:uid="{00000000-0005-0000-0000-00005C010000}"/>
    <cellStyle name="Normal 4 2 2 2 2 3" xfId="427" xr:uid="{00000000-0005-0000-0000-00005D010000}"/>
    <cellStyle name="Normal 4 2 2 2 2 4" xfId="247" xr:uid="{00000000-0005-0000-0000-00005E010000}"/>
    <cellStyle name="Normal 4 2 2 2 3" xfId="205" xr:uid="{00000000-0005-0000-0000-00005F010000}"/>
    <cellStyle name="Normal 4 2 2 2 4" xfId="307" xr:uid="{00000000-0005-0000-0000-000060010000}"/>
    <cellStyle name="Normal 4 2 2 2 5" xfId="387" xr:uid="{00000000-0005-0000-0000-000061010000}"/>
    <cellStyle name="Normal 4 2 2 2 6" xfId="145" xr:uid="{00000000-0005-0000-0000-000062010000}"/>
    <cellStyle name="Normal 4 2 2 3" xfId="82" xr:uid="{00000000-0005-0000-0000-000063010000}"/>
    <cellStyle name="Normal 4 2 2 3 2" xfId="287" xr:uid="{00000000-0005-0000-0000-000064010000}"/>
    <cellStyle name="Normal 4 2 2 3 3" xfId="407" xr:uid="{00000000-0005-0000-0000-000065010000}"/>
    <cellStyle name="Normal 4 2 2 3 4" xfId="185" xr:uid="{00000000-0005-0000-0000-000066010000}"/>
    <cellStyle name="Normal 4 2 2 4" xfId="227" xr:uid="{00000000-0005-0000-0000-000067010000}"/>
    <cellStyle name="Normal 4 2 2 4 2" xfId="327" xr:uid="{00000000-0005-0000-0000-000068010000}"/>
    <cellStyle name="Normal 4 2 2 5" xfId="165" xr:uid="{00000000-0005-0000-0000-000069010000}"/>
    <cellStyle name="Normal 4 2 2 6" xfId="267" xr:uid="{00000000-0005-0000-0000-00006A010000}"/>
    <cellStyle name="Normal 4 2 2 7" xfId="367" xr:uid="{00000000-0005-0000-0000-00006B010000}"/>
    <cellStyle name="Normal 4 2 2 8" xfId="125" xr:uid="{00000000-0005-0000-0000-00006C010000}"/>
    <cellStyle name="Normal 4 2 3" xfId="52" xr:uid="{00000000-0005-0000-0000-00006D010000}"/>
    <cellStyle name="Normal 4 2 3 2" xfId="92" xr:uid="{00000000-0005-0000-0000-00006E010000}"/>
    <cellStyle name="Normal 4 2 3 2 2" xfId="337" xr:uid="{00000000-0005-0000-0000-00006F010000}"/>
    <cellStyle name="Normal 4 2 3 2 3" xfId="417" xr:uid="{00000000-0005-0000-0000-000070010000}"/>
    <cellStyle name="Normal 4 2 3 2 4" xfId="237" xr:uid="{00000000-0005-0000-0000-000071010000}"/>
    <cellStyle name="Normal 4 2 3 3" xfId="195" xr:uid="{00000000-0005-0000-0000-000072010000}"/>
    <cellStyle name="Normal 4 2 3 4" xfId="297" xr:uid="{00000000-0005-0000-0000-000073010000}"/>
    <cellStyle name="Normal 4 2 3 5" xfId="377" xr:uid="{00000000-0005-0000-0000-000074010000}"/>
    <cellStyle name="Normal 4 2 3 6" xfId="135" xr:uid="{00000000-0005-0000-0000-000075010000}"/>
    <cellStyle name="Normal 4 2 4" xfId="72" xr:uid="{00000000-0005-0000-0000-000076010000}"/>
    <cellStyle name="Normal 4 2 4 2" xfId="277" xr:uid="{00000000-0005-0000-0000-000077010000}"/>
    <cellStyle name="Normal 4 2 4 3" xfId="397" xr:uid="{00000000-0005-0000-0000-000078010000}"/>
    <cellStyle name="Normal 4 2 4 4" xfId="175" xr:uid="{00000000-0005-0000-0000-000079010000}"/>
    <cellStyle name="Normal 4 2 5" xfId="217" xr:uid="{00000000-0005-0000-0000-00007A010000}"/>
    <cellStyle name="Normal 4 2 5 2" xfId="317" xr:uid="{00000000-0005-0000-0000-00007B010000}"/>
    <cellStyle name="Normal 4 2 6" xfId="155" xr:uid="{00000000-0005-0000-0000-00007C010000}"/>
    <cellStyle name="Normal 4 2 7" xfId="257" xr:uid="{00000000-0005-0000-0000-00007D010000}"/>
    <cellStyle name="Normal 4 2 8" xfId="357" xr:uid="{00000000-0005-0000-0000-00007E010000}"/>
    <cellStyle name="Normal 4 2 9" xfId="115" xr:uid="{00000000-0005-0000-0000-00007F010000}"/>
    <cellStyle name="Normal 4 3" xfId="37" xr:uid="{00000000-0005-0000-0000-000080010000}"/>
    <cellStyle name="Normal 4 3 2" xfId="57" xr:uid="{00000000-0005-0000-0000-000081010000}"/>
    <cellStyle name="Normal 4 3 2 2" xfId="97" xr:uid="{00000000-0005-0000-0000-000082010000}"/>
    <cellStyle name="Normal 4 3 2 2 2" xfId="342" xr:uid="{00000000-0005-0000-0000-000083010000}"/>
    <cellStyle name="Normal 4 3 2 2 3" xfId="422" xr:uid="{00000000-0005-0000-0000-000084010000}"/>
    <cellStyle name="Normal 4 3 2 2 4" xfId="242" xr:uid="{00000000-0005-0000-0000-000085010000}"/>
    <cellStyle name="Normal 4 3 2 3" xfId="200" xr:uid="{00000000-0005-0000-0000-000086010000}"/>
    <cellStyle name="Normal 4 3 2 4" xfId="302" xr:uid="{00000000-0005-0000-0000-000087010000}"/>
    <cellStyle name="Normal 4 3 2 5" xfId="382" xr:uid="{00000000-0005-0000-0000-000088010000}"/>
    <cellStyle name="Normal 4 3 2 6" xfId="140" xr:uid="{00000000-0005-0000-0000-000089010000}"/>
    <cellStyle name="Normal 4 3 3" xfId="77" xr:uid="{00000000-0005-0000-0000-00008A010000}"/>
    <cellStyle name="Normal 4 3 3 2" xfId="282" xr:uid="{00000000-0005-0000-0000-00008B010000}"/>
    <cellStyle name="Normal 4 3 3 3" xfId="402" xr:uid="{00000000-0005-0000-0000-00008C010000}"/>
    <cellStyle name="Normal 4 3 3 4" xfId="180" xr:uid="{00000000-0005-0000-0000-00008D010000}"/>
    <cellStyle name="Normal 4 3 4" xfId="222" xr:uid="{00000000-0005-0000-0000-00008E010000}"/>
    <cellStyle name="Normal 4 3 4 2" xfId="322" xr:uid="{00000000-0005-0000-0000-00008F010000}"/>
    <cellStyle name="Normal 4 3 5" xfId="160" xr:uid="{00000000-0005-0000-0000-000090010000}"/>
    <cellStyle name="Normal 4 3 6" xfId="262" xr:uid="{00000000-0005-0000-0000-000091010000}"/>
    <cellStyle name="Normal 4 3 7" xfId="362" xr:uid="{00000000-0005-0000-0000-000092010000}"/>
    <cellStyle name="Normal 4 3 8" xfId="120" xr:uid="{00000000-0005-0000-0000-000093010000}"/>
    <cellStyle name="Normal 4 4" xfId="47" xr:uid="{00000000-0005-0000-0000-000094010000}"/>
    <cellStyle name="Normal 4 4 2" xfId="87" xr:uid="{00000000-0005-0000-0000-000095010000}"/>
    <cellStyle name="Normal 4 4 2 2" xfId="332" xr:uid="{00000000-0005-0000-0000-000096010000}"/>
    <cellStyle name="Normal 4 4 2 3" xfId="412" xr:uid="{00000000-0005-0000-0000-000097010000}"/>
    <cellStyle name="Normal 4 4 2 4" xfId="232" xr:uid="{00000000-0005-0000-0000-000098010000}"/>
    <cellStyle name="Normal 4 4 3" xfId="190" xr:uid="{00000000-0005-0000-0000-000099010000}"/>
    <cellStyle name="Normal 4 4 4" xfId="292" xr:uid="{00000000-0005-0000-0000-00009A010000}"/>
    <cellStyle name="Normal 4 4 5" xfId="372" xr:uid="{00000000-0005-0000-0000-00009B010000}"/>
    <cellStyle name="Normal 4 4 6" xfId="130" xr:uid="{00000000-0005-0000-0000-00009C010000}"/>
    <cellStyle name="Normal 4 5" xfId="67" xr:uid="{00000000-0005-0000-0000-00009D010000}"/>
    <cellStyle name="Normal 4 5 2" xfId="272" xr:uid="{00000000-0005-0000-0000-00009E010000}"/>
    <cellStyle name="Normal 4 5 3" xfId="392" xr:uid="{00000000-0005-0000-0000-00009F010000}"/>
    <cellStyle name="Normal 4 5 4" xfId="170" xr:uid="{00000000-0005-0000-0000-0000A0010000}"/>
    <cellStyle name="Normal 4 6" xfId="211" xr:uid="{00000000-0005-0000-0000-0000A1010000}"/>
    <cellStyle name="Normal 4 6 2" xfId="312" xr:uid="{00000000-0005-0000-0000-0000A2010000}"/>
    <cellStyle name="Normal 4 7" xfId="150" xr:uid="{00000000-0005-0000-0000-0000A3010000}"/>
    <cellStyle name="Normal 4 8" xfId="252" xr:uid="{00000000-0005-0000-0000-0000A4010000}"/>
    <cellStyle name="Normal 4 9" xfId="352" xr:uid="{00000000-0005-0000-0000-0000A5010000}"/>
    <cellStyle name="Normal 5" xfId="21" xr:uid="{00000000-0005-0000-0000-0000A6010000}"/>
    <cellStyle name="Normal 5 2" xfId="450" xr:uid="{4CDF35D4-F18F-43B9-AE69-776E84BD05EC}"/>
    <cellStyle name="Normal 6" xfId="9" xr:uid="{00000000-0005-0000-0000-0000A7010000}"/>
    <cellStyle name="Normal 6 2" xfId="30" xr:uid="{00000000-0005-0000-0000-0000A8010000}"/>
    <cellStyle name="Normal 6 3" xfId="454" xr:uid="{91EBD397-0E00-455C-B143-1E72FE7916CA}"/>
    <cellStyle name="Normal 7" xfId="105" xr:uid="{00000000-0005-0000-0000-0000A9010000}"/>
    <cellStyle name="Normal 7 2" xfId="455" xr:uid="{2C6F01B2-A3DB-458E-88A4-A8880F62A52C}"/>
    <cellStyle name="Normal 8" xfId="456" xr:uid="{EEF64765-8990-4650-A3E3-4F1E6C45A69A}"/>
    <cellStyle name="Normal 9" xfId="457" xr:uid="{6B778A99-62A2-4695-8F51-519A1B6DF72E}"/>
    <cellStyle name="Normal 9 2" xfId="460" xr:uid="{44ABFD0A-A30C-4F3B-A09C-DB06470CEBEA}"/>
    <cellStyle name="Porcentaje 2" xfId="6" xr:uid="{00000000-0005-0000-0000-0000AC010000}"/>
    <cellStyle name="Porcentaje 2 2" xfId="15" xr:uid="{00000000-0005-0000-0000-0000AD010000}"/>
    <cellStyle name="Porcentaje 3" xfId="13" xr:uid="{00000000-0005-0000-0000-0000AE010000}"/>
    <cellStyle name="Porcentaje 4" xfId="26" xr:uid="{00000000-0005-0000-0000-0000AF010000}"/>
    <cellStyle name="Porcentaje 5" xfId="107" xr:uid="{00000000-0005-0000-0000-0000B0010000}"/>
    <cellStyle name="Porcentual 2" xfId="437" xr:uid="{812253AE-7E1F-4D33-9AEE-FD770BDD90C7}"/>
    <cellStyle name="Porcentual 2 2" xfId="474" xr:uid="{4895F285-D8BD-49DF-9B3C-CDF6EAC87E80}"/>
    <cellStyle name="Porcentual 3" xfId="439" xr:uid="{AA320A47-A710-4C5B-999C-285FE6B513D5}"/>
    <cellStyle name="Porcentual 3 2" xfId="442" xr:uid="{183F30BE-CFC8-4E41-B0FE-46D2E587DB7D}"/>
    <cellStyle name="Porcentual 4" xfId="453" xr:uid="{A28DB40D-4F8E-4D10-876E-FED05D8B0AAC}"/>
    <cellStyle name="Porcentual 4 2" xfId="475" xr:uid="{8E46090B-6FDB-4392-9F9A-668CF6646CC0}"/>
    <cellStyle name="Porcentual 5" xfId="476" xr:uid="{BE457680-CFAF-4F87-903E-7386DBFB92FA}"/>
    <cellStyle name="Porcentual_presupuesto" xfId="3" xr:uid="{00000000-0005-0000-0000-0000B1010000}"/>
  </cellStyles>
  <dxfs count="0"/>
  <tableStyles count="0" defaultTableStyle="TableStyleMedium9" defaultPivotStyle="PivotStyleLight16"/>
  <colors>
    <mruColors>
      <color rgb="FF0000FF"/>
      <color rgb="FFB1BBCC"/>
      <color rgb="FFFF00FF"/>
      <color rgb="FFB7DEE8"/>
      <color rgb="FFF2DCDB"/>
      <color rgb="FFE8FDA5"/>
      <color rgb="FFDAEEF3"/>
      <color rgb="FF0033CC"/>
      <color rgb="FFFF7979"/>
      <color rgb="FF00A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gency FB" panose="020B0503020202020204" pitchFamily="34" charset="0"/>
                <a:ea typeface="Arial"/>
                <a:cs typeface="Arial"/>
              </a:defRPr>
            </a:pPr>
            <a:r>
              <a:rPr lang="es-PE" sz="1200" b="1" i="0" u="sng" strike="noStrike" baseline="0">
                <a:solidFill>
                  <a:srgbClr val="000000"/>
                </a:solidFill>
                <a:latin typeface="Agency FB" panose="020B0503020202020204" pitchFamily="34" charset="0"/>
                <a:cs typeface="Arial"/>
              </a:rPr>
              <a:t>GRAFICO DE CONTROL DE AVANCE DE OBRA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gency FB" panose="020B0503020202020204" pitchFamily="34" charset="0"/>
                <a:ea typeface="Arial"/>
                <a:cs typeface="Arial"/>
              </a:defRPr>
            </a:pPr>
            <a:r>
              <a:rPr lang="es-PE" sz="1200" b="1" i="0" u="sng" strike="noStrike" baseline="0">
                <a:solidFill>
                  <a:srgbClr val="000000"/>
                </a:solidFill>
                <a:latin typeface="Agency FB" panose="020B0503020202020204" pitchFamily="34" charset="0"/>
                <a:cs typeface="Arial"/>
              </a:rPr>
              <a:t>PROGRAMADO  VS  EJECUTADO</a:t>
            </a:r>
          </a:p>
        </c:rich>
      </c:tx>
      <c:layout>
        <c:manualLayout>
          <c:xMode val="edge"/>
          <c:yMode val="edge"/>
          <c:x val="0.3617131451937397"/>
          <c:y val="2.20401890022751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950065683700321E-2"/>
          <c:y val="0.15819817053783061"/>
          <c:w val="0.871011304689285"/>
          <c:h val="0.64843352556916667"/>
        </c:manualLayout>
      </c:layout>
      <c:lineChart>
        <c:grouping val="standard"/>
        <c:varyColors val="0"/>
        <c:ser>
          <c:idx val="0"/>
          <c:order val="0"/>
          <c:tx>
            <c:strRef>
              <c:f>'CURVA S'!$D$32:$F$32</c:f>
              <c:strCache>
                <c:ptCount val="1"/>
                <c:pt idx="0">
                  <c:v>PROGRAMADO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73-47DE-9630-DDD0A9CF96C1}"/>
                </c:ext>
              </c:extLst>
            </c:dLbl>
            <c:dLbl>
              <c:idx val="1"/>
              <c:layout>
                <c:manualLayout>
                  <c:x val="-4.0234842717500531E-2"/>
                  <c:y val="-2.296608351077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73-47DE-9630-DDD0A9CF96C1}"/>
                </c:ext>
              </c:extLst>
            </c:dLbl>
            <c:dLbl>
              <c:idx val="2"/>
              <c:layout>
                <c:manualLayout>
                  <c:x val="-3.5182638529390867E-2"/>
                  <c:y val="-2.4840765264404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73-47DE-9630-DDD0A9CF96C1}"/>
                </c:ext>
              </c:extLst>
            </c:dLbl>
            <c:dLbl>
              <c:idx val="3"/>
              <c:layout>
                <c:manualLayout>
                  <c:x val="-2.6813646375752408E-2"/>
                  <c:y val="-2.3837294406016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73-47DE-9630-DDD0A9CF9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206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'CURVA S'!$B$34:$B$37</c15:sqref>
                  </c15:fullRef>
                </c:ext>
              </c:extLst>
              <c:f>'CURVA S'!$B$34:$B$37</c:f>
              <c:numCache>
                <c:formatCode>00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S'!$F$34:$F$37</c15:sqref>
                  </c15:fullRef>
                </c:ext>
              </c:extLst>
              <c:f>'CURVA S'!$F$34:$F$37</c:f>
              <c:numCache>
                <c:formatCode>0.00%</c:formatCode>
                <c:ptCount val="4"/>
                <c:pt idx="0">
                  <c:v>0</c:v>
                </c:pt>
                <c:pt idx="1">
                  <c:v>0.24660000000000001</c:v>
                </c:pt>
                <c:pt idx="2">
                  <c:v>0.56500000000000006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E73-47DE-9630-DDD0A9CF96C1}"/>
            </c:ext>
          </c:extLst>
        </c:ser>
        <c:ser>
          <c:idx val="1"/>
          <c:order val="1"/>
          <c:tx>
            <c:strRef>
              <c:f>'CURVA S'!$H$32:$J$32</c:f>
              <c:strCache>
                <c:ptCount val="1"/>
                <c:pt idx="0">
                  <c:v>EJECUTADO</c:v>
                </c:pt>
              </c:strCache>
            </c:strRef>
          </c:tx>
          <c:marker>
            <c:symbol val="diamond"/>
            <c:size val="7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73-47DE-9630-DDD0A9CF96C1}"/>
                </c:ext>
              </c:extLst>
            </c:dLbl>
            <c:dLbl>
              <c:idx val="1"/>
              <c:layout>
                <c:manualLayout>
                  <c:x val="-4.1533285812487823E-2"/>
                  <c:y val="-2.1469196864870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73-47DE-9630-DDD0A9CF96C1}"/>
                </c:ext>
              </c:extLst>
            </c:dLbl>
            <c:dLbl>
              <c:idx val="2"/>
              <c:layout>
                <c:manualLayout>
                  <c:x val="-4.0554212696219817E-2"/>
                  <c:y val="-2.2503514322650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E73-47DE-9630-DDD0A9CF96C1}"/>
                </c:ext>
              </c:extLst>
            </c:dLbl>
            <c:dLbl>
              <c:idx val="3"/>
              <c:layout>
                <c:manualLayout>
                  <c:x val="-5.5602898170046468E-2"/>
                  <c:y val="-1.6877701571765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E73-47DE-9630-DDD0A9CF9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C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'CURVA S'!$B$34:$B$37</c15:sqref>
                  </c15:fullRef>
                </c:ext>
              </c:extLst>
              <c:f>'CURVA S'!$B$34:$B$37</c:f>
              <c:numCache>
                <c:formatCode>00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S'!$J$34:$J$36</c15:sqref>
                  </c15:fullRef>
                </c:ext>
              </c:extLst>
              <c:f>'CURVA S'!$J$34:$J$36</c:f>
              <c:numCache>
                <c:formatCode>0.00%</c:formatCode>
                <c:ptCount val="3"/>
                <c:pt idx="0">
                  <c:v>0</c:v>
                </c:pt>
                <c:pt idx="1">
                  <c:v>0.62719999999999998</c:v>
                </c:pt>
                <c:pt idx="2">
                  <c:v>0.97819999999999996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E73-47DE-9630-DDD0A9CF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22440"/>
        <c:axId val="145422832"/>
      </c:lineChart>
      <c:catAx>
        <c:axId val="145422440"/>
        <c:scaling>
          <c:orientation val="minMax"/>
        </c:scaling>
        <c:delete val="0"/>
        <c:axPos val="b"/>
        <c:majorGridlines>
          <c:spPr>
            <a:ln w="9525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prstDash val="sysDot"/>
            </a:ln>
          </c:spPr>
        </c:majorGridlines>
        <c:minorGridlines>
          <c:spPr>
            <a:ln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gency FB" panose="020B0503020202020204" pitchFamily="34" charset="0"/>
                    <a:ea typeface="Arial Narrow"/>
                    <a:cs typeface="Arial Narrow"/>
                  </a:defRPr>
                </a:pPr>
                <a:r>
                  <a:rPr lang="es-PE" sz="1000">
                    <a:latin typeface="Agency FB" panose="020B0503020202020204" pitchFamily="34" charset="0"/>
                  </a:rPr>
                  <a:t>VALORIZACIONES</a:t>
                </a:r>
              </a:p>
            </c:rich>
          </c:tx>
          <c:layout>
            <c:manualLayout>
              <c:xMode val="edge"/>
              <c:yMode val="edge"/>
              <c:x val="0.44399616516080948"/>
              <c:y val="0.8254922668550660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19050" cmpd="sng">
            <a:solidFill>
              <a:schemeClr val="tx1"/>
            </a:solidFill>
            <a:prstDash val="solid"/>
            <a:headEnd type="oval"/>
            <a:tailEnd type="stealth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w Cen MT"/>
                <a:ea typeface="Tw Cen MT"/>
                <a:cs typeface="Tw Cen MT"/>
              </a:defRPr>
            </a:pPr>
            <a:endParaRPr lang="en-US"/>
          </a:p>
        </c:txPr>
        <c:crossAx val="145422832"/>
        <c:crosses val="autoZero"/>
        <c:auto val="0"/>
        <c:lblAlgn val="ctr"/>
        <c:lblOffset val="100"/>
        <c:tickMarkSkip val="1"/>
        <c:noMultiLvlLbl val="0"/>
      </c:catAx>
      <c:valAx>
        <c:axId val="14542283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chemeClr val="tx2"/>
              </a:solidFill>
              <a:prstDash val="solid"/>
            </a:ln>
          </c:spPr>
        </c:majorGridlines>
        <c:minorGridlines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gency FB" panose="020B0503020202020204" pitchFamily="34" charset="0"/>
                    <a:ea typeface="Arial Narrow"/>
                    <a:cs typeface="Arial Narrow"/>
                  </a:defRPr>
                </a:pPr>
                <a:r>
                  <a:rPr lang="es-PE" sz="1000">
                    <a:latin typeface="Agency FB" panose="020B0503020202020204" pitchFamily="34" charset="0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1.6293672926073186E-3"/>
              <c:y val="0.3756351643568743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12700" cmpd="sng">
            <a:solidFill>
              <a:schemeClr val="tx1"/>
            </a:solidFill>
            <a:headEnd type="oval"/>
            <a:tailEnd type="stealth"/>
          </a:ln>
          <a:effectLst>
            <a:glow rad="12700">
              <a:schemeClr val="accent1">
                <a:alpha val="40000"/>
              </a:schemeClr>
            </a:glow>
          </a:effectLst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w Cen MT"/>
                <a:ea typeface="Tw Cen MT"/>
                <a:cs typeface="Tw Cen MT"/>
              </a:defRPr>
            </a:pPr>
            <a:endParaRPr lang="en-US"/>
          </a:p>
        </c:txPr>
        <c:crossAx val="14542244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326472357233319"/>
          <c:y val="0.86201715755993225"/>
          <c:w val="0.62519685039371475"/>
          <c:h val="7.54716715686920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gency FB" panose="020B0503020202020204" pitchFamily="34" charset="0"/>
              <a:ea typeface="Arial Narrow"/>
              <a:cs typeface="Arial Narrow"/>
            </a:defRPr>
          </a:pPr>
          <a:endParaRPr lang="en-US"/>
        </a:p>
      </c:txPr>
    </c:legend>
    <c:plotVisOnly val="1"/>
    <c:dispBlanksAs val="span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50393659" l="0.74803149606300223" r="0.74803149606300223" t="0.98425196850393659" header="0" footer="0"/>
    <c:pageSetup paperSize="9" orientation="portrait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s-PE" sz="1600"/>
              <a:t>AVANCE FÍSICO DE OBRA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65C-4A38-873B-0A6605D350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65C-4A38-873B-0A6605D350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65C-4A38-873B-0A6605D350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65C-4A38-873B-0A6605D350B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65C-4A38-873B-0A6605D350B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65C-4A38-873B-0A6605D350B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65C-4A38-873B-0A6605D350B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65C-4A38-873B-0A6605D350B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565C-4A38-873B-0A6605D350B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565C-4A38-873B-0A6605D350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('CONTROL AVAN. FISICO'!$B$11:$B$12,'CONTROL AVAN. FISICO'!$B$15)</c:f>
              <c:strCache>
                <c:ptCount val="3"/>
                <c:pt idx="0">
                  <c:v>VAL. N°01</c:v>
                </c:pt>
                <c:pt idx="1">
                  <c:v>VAL. N°02</c:v>
                </c:pt>
                <c:pt idx="2">
                  <c:v>SALDO</c:v>
                </c:pt>
              </c:strCache>
            </c:strRef>
          </c:cat>
          <c:val>
            <c:numRef>
              <c:f>('CONTROL AVAN. FISICO'!$E$11:$E$12,'CONTROL AVAN. FISICO'!$E$15)</c:f>
              <c:numCache>
                <c:formatCode>0.00%</c:formatCode>
                <c:ptCount val="3"/>
                <c:pt idx="0">
                  <c:v>0.62719999999999998</c:v>
                </c:pt>
                <c:pt idx="1">
                  <c:v>0.35099999999999998</c:v>
                </c:pt>
                <c:pt idx="2">
                  <c:v>2.1800000000000042E-2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65C-4A38-873B-0A6605D35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gency FB" panose="020B0503020202020204" pitchFamily="34" charset="0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CONTROL FINANCIERO DE LA OBRA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9DC-4FBD-8971-2F85A78229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9DC-4FBD-8971-2F85A78229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9DC-4FBD-8971-2F85A78229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60-4B8D-B289-CF22FCBD92E9}"/>
              </c:ext>
            </c:extLst>
          </c:dPt>
          <c:dLbls>
            <c:dLbl>
              <c:idx val="0"/>
              <c:layout>
                <c:manualLayout>
                  <c:x val="-2.1166666666666667E-2"/>
                  <c:y val="-4.03174603174603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DC-4FBD-8971-2F85A782293A}"/>
                </c:ext>
              </c:extLst>
            </c:dLbl>
            <c:dLbl>
              <c:idx val="1"/>
              <c:layout>
                <c:manualLayout>
                  <c:x val="-0.20931481481481481"/>
                  <c:y val="2.565656565656564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DC-4FBD-8971-2F85A782293A}"/>
                </c:ext>
              </c:extLst>
            </c:dLbl>
            <c:dLbl>
              <c:idx val="2"/>
              <c:layout>
                <c:manualLayout>
                  <c:x val="0.21637037037037038"/>
                  <c:y val="-2.19913419913420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DC-4FBD-8971-2F85A78229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('CONTROL FINANCIERO'!$B$12:$B$13,'CONTROL FINANCIERO'!$B$15,'CONTROL FINANCIERO'!$B$20)</c:f>
              <c:strCache>
                <c:ptCount val="4"/>
                <c:pt idx="0">
                  <c:v>Adelanto directo</c:v>
                </c:pt>
                <c:pt idx="1">
                  <c:v>Adelanto de materiales</c:v>
                </c:pt>
                <c:pt idx="2">
                  <c:v>Valorización N°01</c:v>
                </c:pt>
                <c:pt idx="3">
                  <c:v>SALDO</c:v>
                </c:pt>
              </c:strCache>
            </c:strRef>
          </c:cat>
          <c:val>
            <c:numRef>
              <c:f>('CONTROL FINANCIERO'!$F$12:$F$13,'CONTROL FINANCIERO'!$F$15,'CONTROL FINANCIERO'!$F$20)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0.62716196283794745</c:v>
                </c:pt>
                <c:pt idx="3">
                  <c:v>0.37283803716205255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C-4FBD-8971-2F85A78229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gency FB" panose="020B0503020202020204" pitchFamily="34" charset="0"/>
        </a:defRPr>
      </a:pPr>
      <a:endParaRPr lang="es-PE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595313</xdr:colOff>
      <xdr:row>118</xdr:row>
      <xdr:rowOff>71439</xdr:rowOff>
    </xdr:from>
    <xdr:to>
      <xdr:col>24</xdr:col>
      <xdr:colOff>445634</xdr:colOff>
      <xdr:row>132</xdr:row>
      <xdr:rowOff>29723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A6E325A-6F67-47B3-9829-BF2B2F24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62219" y="58650189"/>
          <a:ext cx="1226343" cy="2625284"/>
        </a:xfrm>
        <a:prstGeom prst="rect">
          <a:avLst/>
        </a:prstGeom>
      </xdr:spPr>
    </xdr:pic>
    <xdr:clientData/>
  </xdr:twoCellAnchor>
  <xdr:twoCellAnchor editAs="oneCell">
    <xdr:from>
      <xdr:col>25</xdr:col>
      <xdr:colOff>452438</xdr:colOff>
      <xdr:row>118</xdr:row>
      <xdr:rowOff>71437</xdr:rowOff>
    </xdr:from>
    <xdr:to>
      <xdr:col>27</xdr:col>
      <xdr:colOff>404812</xdr:colOff>
      <xdr:row>131</xdr:row>
      <xdr:rowOff>169969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D8EDC7A-0AB8-4A96-AE0F-5E9BF5A0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5813" y="59031187"/>
          <a:ext cx="1333499" cy="2575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7</xdr:row>
      <xdr:rowOff>42333</xdr:rowOff>
    </xdr:from>
    <xdr:to>
      <xdr:col>10</xdr:col>
      <xdr:colOff>973667</xdr:colOff>
      <xdr:row>31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B0D078A-2E40-419D-A7A4-554714E92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24</xdr:row>
      <xdr:rowOff>33157</xdr:rowOff>
    </xdr:from>
    <xdr:to>
      <xdr:col>11</xdr:col>
      <xdr:colOff>123654</xdr:colOff>
      <xdr:row>50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729FEB-738D-455C-9E1E-AC0C64AE44A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14813</xdr:colOff>
      <xdr:row>21</xdr:row>
      <xdr:rowOff>66676</xdr:rowOff>
    </xdr:from>
    <xdr:to>
      <xdr:col>6</xdr:col>
      <xdr:colOff>1150647</xdr:colOff>
      <xdr:row>46</xdr:row>
      <xdr:rowOff>33821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926BCA-7928-0A9E-8DC2-7CE8F21F3C0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361950</xdr:rowOff>
    </xdr:from>
    <xdr:to>
      <xdr:col>2</xdr:col>
      <xdr:colOff>0</xdr:colOff>
      <xdr:row>4</xdr:row>
      <xdr:rowOff>0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 bwMode="auto">
        <a:xfrm flipV="1">
          <a:off x="38100" y="361950"/>
          <a:ext cx="1009650" cy="523876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valorizaci&#243;n%20marzo%20abril/Documento%20de%20Supervision%20Santa%20Ana%20dee%20Tussi/Informe%20Febrero%20Residente/VALORIZACION%2001%20SISTEMA%20DE%20AGUA%20TUSI.xls" TargetMode="External"/><Relationship Id="rId1" Type="http://schemas.openxmlformats.org/officeDocument/2006/relationships/externalLinkPath" Target="/Users/jose/AppData/Local/Temp/Rar$DIa0.657/valorizaci&#243;n%20marzo%20abril/Documento%20de%20Supervision%20Santa%20Ana%20dee%20Tussi/Informe%20Febrero%20Residente/VALORIZACION%2001%20SISTEMA%20DE%20AGUA%20TUSI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Users/jose/AppData/Local/Temp/Rar$DIa0.648/Proyectos_Inv/TalleresPAsco/VALORIZACION%2001/Curva%20S%20%20PASCO.xls" TargetMode="External"/><Relationship Id="rId1" Type="http://schemas.openxmlformats.org/officeDocument/2006/relationships/externalLinkPath" Target="/Users/jose/AppData/Local/Temp/Rar$DIa0.657/Users/jose/AppData/Local/Temp/Rar$DIa0.648/Proyectos_Inv/TalleresPAsco/VALORIZACION%2001/Curva%20S%20%20PAS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Trabajos\3.%20Trabajo%20AUGUSTO\1.%20OBRA,%20GRASS%20TRES%20DE%20OCTUBRE%20(Huariaca)\5.%20SUPERVISI&#211;N\4.%20Valorizaci&#243;n%202\VALORIZACION%20DE%20OBRA%20N&#176;%2002%20-%20MOD%20PARA%20IMPRIMIR%20HOJ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olando\varios\formato%20val%20lim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Users/jose/AppData/Local/Temp/Rar$DIa0.648/PROYECTOS/to&#241;o/SUP%20SNTIAGO%20PAMPA%20YANAHUANCA/VALORIZACION%2003%20Stgo%20PAMPA/S%20PAMPA/VAL%2001/VALORIZACION%2001%20%20S%20%20PAMPA%20(Benavente).xls" TargetMode="External"/><Relationship Id="rId1" Type="http://schemas.openxmlformats.org/officeDocument/2006/relationships/externalLinkPath" Target="/Users/jose/AppData/Local/Temp/Rar$DIa0.657/Users/jose/AppData/Local/Temp/Rar$DIa0.648/PROYECTOS/to&#241;o/SUP%20SNTIAGO%20PAMPA%20YANAHUANCA/VALORIZACION%2003%20Stgo%20PAMPA/S%20PAMPA/VAL%2001/VALORIZACION%2001%20%20S%20%20PAMPA%20(Benavente)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Users/jose/AppData/Local/Temp/Rar$DIa0.648/AAA-SUPERVISCION%20ALFREDO/Val-01AULASDEPACOYAN(1)-ALFREDO.xls" TargetMode="External"/><Relationship Id="rId1" Type="http://schemas.openxmlformats.org/officeDocument/2006/relationships/externalLinkPath" Target="/Users/jose/AppData/Local/Temp/Rar$DIa0.657/Users/jose/AppData/Local/Temp/Rar$DIa0.648/AAA-SUPERVISCION%20ALFREDO/Val-01AULASDEPACOYAN(1)-ALFREDO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Users/jose/AppData/Local/Temp/Rar$DIa0.648/PROYECTOS/to&#241;o/SUP%20SNTIAGO%20PAMPA%20YANAHUANCA/(VAL%2001)%20For-Obra%2001.xls" TargetMode="External"/><Relationship Id="rId1" Type="http://schemas.openxmlformats.org/officeDocument/2006/relationships/externalLinkPath" Target="/Users/jose/AppData/Local/Temp/Rar$DIa0.657/Users/jose/AppData/Local/Temp/Rar$DIa0.648/PROYECTOS/to&#241;o/SUP%20SNTIAGO%20PAMPA%20YANAHUANCA/(VAL%2001)%20For-Obra%200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USUARIO/Escritorio/A.%20PALMA/rolando/varios/formato%20val%20lima.XLS" TargetMode="External"/><Relationship Id="rId1" Type="http://schemas.openxmlformats.org/officeDocument/2006/relationships/externalLinkPath" Target="/Documents%20and%20Settings/USUARIO/Escritorio/A.%20PALMA/rolando/varios/formato%20val%20lima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USUARIO/Escritorio/A.%20PALMA/Documents%20and%20Settings/FN/Escritorio/VALORIZACION%20DE%20ICA/VALORIZACIONES%20OBRA%2005%20JUNIO.xlsx" TargetMode="External"/><Relationship Id="rId1" Type="http://schemas.openxmlformats.org/officeDocument/2006/relationships/externalLinkPath" Target="/Documents%20and%20Settings/USUARIO/Escritorio/A.%20PALMA/Documents%20and%20Settings/FN/Escritorio/VALORIZACION%20DE%20ICA/VALORIZACIONES%20OBRA%2005%20JUNIO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ose/AppData/Local/Temp/Rar$DIa0.657/Users/jose/AppData/Local/Temp/Rar$DIa0.648/PWBR-R%20CP/Obra%20Yanamate/Alquiler%20EQ/Val-MTC-01.xls" TargetMode="External"/><Relationship Id="rId1" Type="http://schemas.openxmlformats.org/officeDocument/2006/relationships/externalLinkPath" Target="/Users/jose/AppData/Local/Temp/Rar$DIa0.657/Users/jose/AppData/Local/Temp/Rar$DIa0.648/PWBR-R%20CP/Obra%20Yanamate/Alquiler%20EQ/Val-MTC-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AppData/Local/Microsoft/Windows/Temporary%20Internet%20Files/Content.IE5/JN2KT82W/VALORIZACION%2010%20%20MARZO%202012.xls" TargetMode="External"/><Relationship Id="rId1" Type="http://schemas.openxmlformats.org/officeDocument/2006/relationships/externalLinkPath" Target="/Users/USUARIO/AppData/Local/Microsoft/Windows/Temporary%20Internet%20Files/Content.IE5/JN2KT82W/VALORIZACION%2010%20%20MARZO%202012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0.%20Trabajos%20R&#193;PIDOS\10.%20Liquidaci&#243;n%20Pa&#250;l\Liquidaci&#243;n%20Puente%2022-01-2026\LIQUIDACI&#211;N%20PUENTE%20RAYANCATAC.xlsx" TargetMode="External"/><Relationship Id="rId1" Type="http://schemas.openxmlformats.org/officeDocument/2006/relationships/externalLinkPath" Target="file:///G:\Mi%20unidad\0.%20Trabajos%20R&#193;PIDOS\10.%20Liquidaci&#243;n%20Pa&#250;l\Liquidaci&#243;n%20Puente%2022-01-2026\LIQUIDACI&#211;N%20PUENTE%20RAYANCATAC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BERTURA%20PITUMAMA\VAL%20N&#176;%2002%20-%20PITUMAMA%20-%20ABRIL%202026\VAL%20N&#176;02%20-%20CD%20-%20PITUMAMA\VAL.%20N&#176;02%20-%20ABR%202026%20-%20SUPER.xlsx" TargetMode="External"/><Relationship Id="rId1" Type="http://schemas.openxmlformats.org/officeDocument/2006/relationships/externalLinkPath" Target="COBERTURA%20PITUMAMA/VAL%20N&#176;%2002%20-%20PITUMAMA%20-%20ABRIL%202026/VAL%20N&#176;02%20-%20CD%20-%20PITUMAMA/VAL.%20N&#176;02%20-%20ABR%202026%20-%20SUP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/COBERTURA%20PITUMAMA/VAL%20N&#176;%2002%20-%20PITUMAMA%20-%20ABRIL%202026/VAL%20N&#176;02%20-%20CD%20-%20PITUMAMA/VAL.%20N&#176;02%20-%20ABR%202026%20-%20SUPER.xlsx" TargetMode="External"/><Relationship Id="rId1" Type="http://schemas.openxmlformats.org/officeDocument/2006/relationships/externalLinkPath" Target="/Users/USER/Documents/COBERTURA%20PITUMAMA/VAL%20N&#176;%2002%20-%20PITUMAMA%20-%20ABRIL%202026/VAL%20N&#176;02%20-%20CD%20-%20PITUMAMA/VAL.%20N&#176;02%20-%20ABR%202026%20-%20SUP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STRADA\AppData\Local\Microsoft\Windows\Temporary%20Internet%20Files\Content.IE5\VEC7Q8SU\pusto%20%20de%20salud%20nuevas%20flores\informe%20n&#186;%2003%20puesto%20salud%20nuevas%20flores\CURVA%20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9BF497\VAL%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caduceo\CONDOMINIALES-CAMPO\DOCUME~1\sedapal\CONFIG~1\Temp\Copia%20de%20Oferta%20Econ&#243;mica%20lote%2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1.%20Complejo%20Amarilis\Otros\liquidacion%20Jesus\Valorizaciones%20Liquidac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AL.%20N&#176;1-Cochatama\Ing.%20Armando%20%202011\Obras%20Empresa%202011\Obra%20MARIANO%20DAMASO%20BERAUN\Cronograma_valorizado_Damaso%20Beraum2011-OKk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rober\Configuraci&#243;n%20local\Archivos%20temporales%20de%20Internet\Content.IE5\472OJLBA\CERCO%20PER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1.%20Complejo%20Amarilis\Otros\liquidacion%20Jesus\PDF%20Valorizaciones%20Liquidac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PUCARA\VALORIZACION%20N&#176;%2001\INFORME%20DE%20SUPERVISION\VALORIZACION%20N&#176;%2001\VALORIZACION%20DE%20SUPERVISION\3.%20VALORIZACION%20PISTAS%20Y%20VEREDA%20MOLINO%20%20PARA%20MISERABLE\VAL%2005-DICIEMEMBRE\VAL%2001-MOLIN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-Val"/>
      <sheetName val="Res. Valoriz"/>
      <sheetName val="1 Agua Potable"/>
      <sheetName val="2 Alcantar"/>
      <sheetName val="3 PTAR"/>
      <sheetName val="4 AMBIENTAL"/>
      <sheetName val="Curva S-Val"/>
      <sheetName val="metrado"/>
      <sheetName val="IND CREPCO"/>
      <sheetName val="FP-01(K)"/>
      <sheetName val="REINTEGROS"/>
    </sheetNames>
    <sheetDataSet>
      <sheetData sheetId="0">
        <row r="8">
          <cell r="C8" t="str">
            <v>:"MEJORAMIENTO Y AMPLIACION DEL SISTEMA DE AGUA POTABLE, SISTEMA DE ALCANTARILLADO Y TRATAMIENTO DE AGUAS RESIDUALES EN LA CIUDAD DE SANTA ANA DE TUSI, DISTRITO DE SANTA ANA DE TUSI - DANIEL CARRIÓN - PASCO"</v>
          </cell>
        </row>
        <row r="17">
          <cell r="C17" t="str">
            <v>: 09/02/2015</v>
          </cell>
        </row>
        <row r="23">
          <cell r="C23" t="str">
            <v>: 10/02/2015</v>
          </cell>
        </row>
        <row r="24">
          <cell r="C24" t="str">
            <v>: 28/02/2015</v>
          </cell>
        </row>
      </sheetData>
      <sheetData sheetId="1" refreshError="1"/>
      <sheetData sheetId="2" refreshError="1"/>
      <sheetData sheetId="3">
        <row r="14">
          <cell r="L14">
            <v>250</v>
          </cell>
        </row>
      </sheetData>
      <sheetData sheetId="4">
        <row r="18">
          <cell r="L18">
            <v>1800</v>
          </cell>
        </row>
      </sheetData>
      <sheetData sheetId="5">
        <row r="16">
          <cell r="L16">
            <v>6.53</v>
          </cell>
        </row>
      </sheetData>
      <sheetData sheetId="6">
        <row r="84">
          <cell r="M84">
            <v>0</v>
          </cell>
        </row>
      </sheetData>
      <sheetData sheetId="7" refreshError="1"/>
      <sheetData sheetId="8" refreshError="1"/>
      <sheetData sheetId="9">
        <row r="14">
          <cell r="E14">
            <v>1</v>
          </cell>
          <cell r="F14">
            <v>2</v>
          </cell>
          <cell r="G14">
            <v>3</v>
          </cell>
          <cell r="H14">
            <v>4</v>
          </cell>
          <cell r="I14">
            <v>5</v>
          </cell>
          <cell r="J14">
            <v>6</v>
          </cell>
          <cell r="K14">
            <v>7</v>
          </cell>
          <cell r="L14">
            <v>8</v>
          </cell>
          <cell r="M14">
            <v>9</v>
          </cell>
          <cell r="N14">
            <v>10</v>
          </cell>
          <cell r="O14">
            <v>11</v>
          </cell>
          <cell r="P14">
            <v>12</v>
          </cell>
        </row>
        <row r="15">
          <cell r="C15" t="str">
            <v>I.U.</v>
          </cell>
          <cell r="E15" t="str">
            <v>BASE</v>
          </cell>
          <cell r="F15">
            <v>1</v>
          </cell>
          <cell r="G15">
            <v>2</v>
          </cell>
          <cell r="H15">
            <v>3</v>
          </cell>
          <cell r="I15">
            <v>4</v>
          </cell>
          <cell r="J15">
            <v>5</v>
          </cell>
          <cell r="K15">
            <v>6</v>
          </cell>
          <cell r="L15">
            <v>7</v>
          </cell>
          <cell r="M15">
            <v>8</v>
          </cell>
          <cell r="N15">
            <v>9</v>
          </cell>
          <cell r="O15">
            <v>10</v>
          </cell>
          <cell r="P15">
            <v>11</v>
          </cell>
        </row>
        <row r="16">
          <cell r="E16">
            <v>41730</v>
          </cell>
          <cell r="F16">
            <v>42005</v>
          </cell>
          <cell r="G16">
            <v>42036</v>
          </cell>
          <cell r="H16">
            <v>41699</v>
          </cell>
          <cell r="I16">
            <v>42095</v>
          </cell>
          <cell r="J16">
            <v>42125</v>
          </cell>
          <cell r="K16">
            <v>42156</v>
          </cell>
          <cell r="L16">
            <v>42186</v>
          </cell>
          <cell r="M16">
            <v>42217</v>
          </cell>
          <cell r="N16">
            <v>42248</v>
          </cell>
          <cell r="O16">
            <v>42278</v>
          </cell>
          <cell r="P16">
            <v>42309</v>
          </cell>
        </row>
        <row r="18">
          <cell r="C18">
            <v>3</v>
          </cell>
          <cell r="E18">
            <v>470.04</v>
          </cell>
          <cell r="F18">
            <v>509.07</v>
          </cell>
          <cell r="G18">
            <v>509.07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>
            <v>5</v>
          </cell>
          <cell r="E19">
            <v>388.89</v>
          </cell>
          <cell r="F19">
            <v>396.59</v>
          </cell>
          <cell r="G19">
            <v>396.59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>
            <v>21</v>
          </cell>
          <cell r="E20">
            <v>354.74</v>
          </cell>
          <cell r="F20">
            <v>389.65</v>
          </cell>
          <cell r="G20">
            <v>389.65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>
            <v>30</v>
          </cell>
          <cell r="E21">
            <v>384.75</v>
          </cell>
          <cell r="F21">
            <v>411.34</v>
          </cell>
          <cell r="G21">
            <v>411.34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>
            <v>32</v>
          </cell>
          <cell r="E22">
            <v>465.69</v>
          </cell>
          <cell r="F22">
            <v>468.56</v>
          </cell>
          <cell r="G22">
            <v>468.56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>
            <v>39</v>
          </cell>
          <cell r="E23">
            <v>399.44</v>
          </cell>
          <cell r="F23">
            <v>405.56</v>
          </cell>
          <cell r="G23">
            <v>405.56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C24">
            <v>43</v>
          </cell>
          <cell r="E24">
            <v>784.9</v>
          </cell>
          <cell r="F24">
            <v>794.1</v>
          </cell>
          <cell r="G24">
            <v>794.1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>
            <v>47</v>
          </cell>
          <cell r="E25">
            <v>498.1</v>
          </cell>
          <cell r="F25">
            <v>523.15</v>
          </cell>
          <cell r="G25">
            <v>523.15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>
            <v>48</v>
          </cell>
          <cell r="E26">
            <v>338.89</v>
          </cell>
          <cell r="F26">
            <v>348.43</v>
          </cell>
          <cell r="G26">
            <v>348.43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C27">
            <v>72</v>
          </cell>
          <cell r="E27">
            <v>366.08</v>
          </cell>
          <cell r="F27">
            <v>390.84</v>
          </cell>
          <cell r="G27">
            <v>390.84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Curva S-Val"/>
    </sheetNames>
    <sheetDataSet>
      <sheetData sheetId="0" refreshError="1">
        <row r="8">
          <cell r="C8" t="str">
            <v>"CONSTRUCCION DE TALLERES DEL C.N.I Nº3 ANTENOR RIZO PATRON NEQUERICA"</v>
          </cell>
        </row>
        <row r="9">
          <cell r="C9" t="str">
            <v>WINSER CONTRATISTAS E.I.R.L</v>
          </cell>
        </row>
        <row r="12">
          <cell r="C12" t="str">
            <v>ARQ.  DARIO MARTINEZ MARTINEZ</v>
          </cell>
        </row>
        <row r="14">
          <cell r="C14">
            <v>980371.49</v>
          </cell>
        </row>
        <row r="16">
          <cell r="C16">
            <v>120</v>
          </cell>
        </row>
        <row r="17">
          <cell r="C17">
            <v>39785</v>
          </cell>
        </row>
        <row r="19">
          <cell r="C19" t="str">
            <v>31/01/2,009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DatGen"/>
      <sheetName val="F.T"/>
      <sheetName val="ORDEN DE PAGO"/>
      <sheetName val="RESUMEN VAL"/>
      <sheetName val="RES VAL"/>
      <sheetName val="RES VALO PAGS"/>
      <sheetName val="METRADO"/>
      <sheetName val="VALO GENERAL"/>
      <sheetName val="Hoja1"/>
      <sheetName val=" VALO 02"/>
      <sheetName val="CRONOGRAMA VALORIZADO"/>
      <sheetName val="CURVA S"/>
      <sheetName val="Reint No Aut Adel Dir"/>
      <sheetName val="k"/>
      <sheetName val="CAL REAJ."/>
      <sheetName val="REQ Y MAQ"/>
      <sheetName val="ARQUITECTURA"/>
      <sheetName val="Control Val.s"/>
    </sheetNames>
    <sheetDataSet>
      <sheetData sheetId="0"/>
      <sheetData sheetId="1">
        <row r="10">
          <cell r="E10" t="str">
            <v>ING. ELDER IVAN CORREA BETETA</v>
          </cell>
        </row>
        <row r="14">
          <cell r="E14" t="str">
            <v>BARRIO TRES DE OCTUBRE</v>
          </cell>
        </row>
        <row r="15">
          <cell r="E15" t="str">
            <v>PASCO</v>
          </cell>
        </row>
        <row r="16">
          <cell r="E16" t="str">
            <v>PASCO</v>
          </cell>
        </row>
        <row r="17">
          <cell r="E17" t="str">
            <v>HUARIACA</v>
          </cell>
        </row>
        <row r="20">
          <cell r="E20" t="str">
            <v>A.S. N° 002-2022-MDH-1</v>
          </cell>
        </row>
        <row r="21">
          <cell r="E21" t="str">
            <v>N° 002-2022-MDH/HCA</v>
          </cell>
        </row>
        <row r="24">
          <cell r="E24">
            <v>44693</v>
          </cell>
        </row>
        <row r="31">
          <cell r="E31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44726</v>
          </cell>
        </row>
        <row r="42">
          <cell r="E42" t="str">
            <v>N° 027-2022-MDH-1</v>
          </cell>
        </row>
        <row r="45">
          <cell r="E45">
            <v>44692</v>
          </cell>
        </row>
        <row r="47">
          <cell r="E47">
            <v>41883.949999999997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53">
          <cell r="AA453">
            <v>102275.9</v>
          </cell>
        </row>
      </sheetData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VAL"/>
      <sheetName val="oficio"/>
      <sheetName val="Hoja1"/>
      <sheetName val="Hoja2"/>
      <sheetName val="Hoja3"/>
      <sheetName val="Precios Unitarios"/>
      <sheetName val="TUQUINA ok"/>
      <sheetName val="LAMPA CHICO ok"/>
    </sheetNames>
    <sheetDataSet>
      <sheetData sheetId="0">
        <row r="19">
          <cell r="B19">
            <v>1</v>
          </cell>
          <cell r="C19">
            <v>2</v>
          </cell>
          <cell r="D19">
            <v>3</v>
          </cell>
          <cell r="E19">
            <v>4</v>
          </cell>
          <cell r="F19">
            <v>5</v>
          </cell>
          <cell r="G19">
            <v>6</v>
          </cell>
          <cell r="H19">
            <v>7</v>
          </cell>
          <cell r="I19">
            <v>8</v>
          </cell>
          <cell r="J19">
            <v>9</v>
          </cell>
        </row>
        <row r="21">
          <cell r="B21">
            <v>20619.63</v>
          </cell>
          <cell r="C21">
            <v>83744.06</v>
          </cell>
          <cell r="D21">
            <v>89794.19</v>
          </cell>
          <cell r="E21">
            <v>115024.75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0</v>
          </cell>
          <cell r="D22">
            <v>15675.8</v>
          </cell>
          <cell r="E22">
            <v>10838.43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0</v>
          </cell>
          <cell r="D23">
            <v>5249.18</v>
          </cell>
          <cell r="E23">
            <v>1615.69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0</v>
          </cell>
          <cell r="D24">
            <v>3322.02</v>
          </cell>
          <cell r="E24">
            <v>2576.69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7">
          <cell r="B27">
            <v>8247.85</v>
          </cell>
          <cell r="C27">
            <v>33497.620000000003</v>
          </cell>
          <cell r="D27">
            <v>41745.47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45616.480000000003</v>
          </cell>
          <cell r="E28">
            <v>52022.22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1030.98</v>
          </cell>
          <cell r="C29">
            <v>4187.2</v>
          </cell>
          <cell r="D29">
            <v>5702.06</v>
          </cell>
          <cell r="E29">
            <v>6502.78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>
        <row r="19">
          <cell r="B19" t="str">
            <v>01.01.01.01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-Val"/>
      <sheetName val="Val-Obra"/>
      <sheetName val="Curva S-Val"/>
      <sheetName val="IND CREPCO"/>
      <sheetName val="FP-( K )"/>
      <sheetName val="Reajuste"/>
      <sheetName val="Calc-Reaj-NO-Crresp"/>
      <sheetName val="Amortiz Mat"/>
      <sheetName val="Deduc-NO-Corresp"/>
      <sheetName val="Cont-Atraso"/>
      <sheetName val="Adelantos"/>
      <sheetName val="Cont-Amortz"/>
      <sheetName val="Cont-Val(2)"/>
    </sheetNames>
    <sheetDataSet>
      <sheetData sheetId="0" refreshError="1">
        <row r="12">
          <cell r="C12" t="str">
            <v>: ARQ. ANTONIO A. VILLAGARAY HUAMAN</v>
          </cell>
        </row>
        <row r="15">
          <cell r="C15" t="str">
            <v>:  PRECIOS A NOV. DEL 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-Val"/>
      <sheetName val="VALORIZACION Nº 02_JULIO"/>
      <sheetName val="VAL. FORM Nº 01_JULIO (2)"/>
      <sheetName val="VAL. FORM. Nº 02_JULIO (2)"/>
      <sheetName val="VAL. FORM. Nº 04_JULIO (2)"/>
      <sheetName val="VAL.FOR. Nº 05_JULIO (2)"/>
      <sheetName val="Val-Obra"/>
      <sheetName val="Curva S-Val"/>
      <sheetName val="IND CREPCO (2)"/>
      <sheetName val="IND CREPCO"/>
      <sheetName val="FP-(K)-estruct."/>
      <sheetName val="FP-(K) (2)-arquitect."/>
      <sheetName val="FP-( K )"/>
      <sheetName val="reintegros-ESTRUCTURA"/>
      <sheetName val="reintegros-ARQUITECTURA (2)"/>
      <sheetName val="Reajuste"/>
      <sheetName val="Calc-Reaj-NO-Crresp"/>
      <sheetName val="Amortiz Mat"/>
      <sheetName val="Deduc-NO-Corresp"/>
      <sheetName val="Cont-Atraso"/>
      <sheetName val="Adelantos"/>
      <sheetName val="Cont-Amortz"/>
      <sheetName val="Cont-Val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>
            <v>1</v>
          </cell>
          <cell r="F5">
            <v>2</v>
          </cell>
          <cell r="G5">
            <v>3</v>
          </cell>
          <cell r="H5">
            <v>4</v>
          </cell>
          <cell r="I5">
            <v>5</v>
          </cell>
          <cell r="J5">
            <v>6</v>
          </cell>
          <cell r="K5">
            <v>7</v>
          </cell>
          <cell r="L5">
            <v>8</v>
          </cell>
          <cell r="M5">
            <v>9</v>
          </cell>
          <cell r="N5">
            <v>10</v>
          </cell>
          <cell r="O5">
            <v>11</v>
          </cell>
          <cell r="P5">
            <v>12</v>
          </cell>
          <cell r="Q5">
            <v>13</v>
          </cell>
          <cell r="R5">
            <v>14</v>
          </cell>
          <cell r="S5">
            <v>9</v>
          </cell>
          <cell r="T5">
            <v>10</v>
          </cell>
        </row>
        <row r="6">
          <cell r="C6" t="str">
            <v>I.U.</v>
          </cell>
          <cell r="E6" t="str">
            <v>BASE</v>
          </cell>
          <cell r="H6">
            <v>1</v>
          </cell>
          <cell r="I6">
            <v>2</v>
          </cell>
          <cell r="J6">
            <v>3</v>
          </cell>
          <cell r="K6">
            <v>4</v>
          </cell>
          <cell r="L6">
            <v>5</v>
          </cell>
          <cell r="M6">
            <v>6</v>
          </cell>
          <cell r="N6">
            <v>7</v>
          </cell>
          <cell r="O6">
            <v>8</v>
          </cell>
          <cell r="P6">
            <v>9</v>
          </cell>
          <cell r="Q6">
            <v>10</v>
          </cell>
          <cell r="R6">
            <v>11</v>
          </cell>
          <cell r="S6">
            <v>6</v>
          </cell>
          <cell r="T6">
            <v>7</v>
          </cell>
        </row>
        <row r="7">
          <cell r="E7">
            <v>38200</v>
          </cell>
          <cell r="F7">
            <v>38231</v>
          </cell>
          <cell r="G7">
            <v>38261</v>
          </cell>
          <cell r="H7">
            <v>38292</v>
          </cell>
          <cell r="I7">
            <v>38322</v>
          </cell>
          <cell r="J7">
            <v>38353</v>
          </cell>
          <cell r="K7">
            <v>38384</v>
          </cell>
          <cell r="L7">
            <v>38414</v>
          </cell>
          <cell r="M7">
            <v>38444</v>
          </cell>
          <cell r="N7">
            <v>38474</v>
          </cell>
          <cell r="O7">
            <v>38504</v>
          </cell>
          <cell r="P7">
            <v>38534</v>
          </cell>
          <cell r="Q7">
            <v>38564</v>
          </cell>
          <cell r="R7">
            <v>38594</v>
          </cell>
          <cell r="S7">
            <v>38444</v>
          </cell>
          <cell r="T7">
            <v>38473</v>
          </cell>
        </row>
        <row r="9">
          <cell r="C9">
            <v>47</v>
          </cell>
          <cell r="E9">
            <v>311.70999999999998</v>
          </cell>
          <cell r="G9">
            <v>339.06</v>
          </cell>
          <cell r="H9">
            <v>339.62</v>
          </cell>
          <cell r="I9">
            <v>336.1</v>
          </cell>
          <cell r="J9">
            <v>333.52</v>
          </cell>
          <cell r="K9">
            <v>333.52</v>
          </cell>
          <cell r="L9">
            <v>333.52</v>
          </cell>
          <cell r="S9">
            <v>333.52</v>
          </cell>
          <cell r="T9">
            <v>333.52</v>
          </cell>
        </row>
        <row r="10">
          <cell r="C10">
            <v>9</v>
          </cell>
          <cell r="E10">
            <v>205.7</v>
          </cell>
          <cell r="L10">
            <v>197.46</v>
          </cell>
          <cell r="S10">
            <v>197.4</v>
          </cell>
          <cell r="T10">
            <v>197.46</v>
          </cell>
        </row>
        <row r="11">
          <cell r="C11">
            <v>61</v>
          </cell>
          <cell r="E11">
            <v>265.45</v>
          </cell>
          <cell r="L11">
            <v>287.33</v>
          </cell>
          <cell r="S11">
            <v>296.39999999999998</v>
          </cell>
          <cell r="T11">
            <v>287.33</v>
          </cell>
        </row>
        <row r="12">
          <cell r="C12">
            <v>65</v>
          </cell>
          <cell r="E12">
            <v>276.08</v>
          </cell>
          <cell r="L12">
            <v>291.14999999999998</v>
          </cell>
          <cell r="S12">
            <v>290.51</v>
          </cell>
          <cell r="T12">
            <v>291.14999999999998</v>
          </cell>
        </row>
        <row r="13">
          <cell r="C13">
            <v>28</v>
          </cell>
          <cell r="E13">
            <v>322.12</v>
          </cell>
          <cell r="L13">
            <v>309.22000000000003</v>
          </cell>
          <cell r="S13">
            <v>309.12</v>
          </cell>
          <cell r="T13">
            <v>309.22000000000003</v>
          </cell>
        </row>
        <row r="14">
          <cell r="C14">
            <v>32</v>
          </cell>
          <cell r="E14">
            <v>348.17</v>
          </cell>
          <cell r="L14">
            <v>356.89</v>
          </cell>
          <cell r="S14">
            <v>356.89</v>
          </cell>
          <cell r="T14">
            <v>356.89</v>
          </cell>
        </row>
        <row r="15">
          <cell r="C15">
            <v>44</v>
          </cell>
          <cell r="E15">
            <v>256.29000000000002</v>
          </cell>
          <cell r="L15">
            <v>264.99</v>
          </cell>
          <cell r="S15">
            <v>266.87</v>
          </cell>
          <cell r="T15">
            <v>264.99</v>
          </cell>
        </row>
        <row r="16">
          <cell r="C16">
            <v>21</v>
          </cell>
          <cell r="E16">
            <v>350.43</v>
          </cell>
          <cell r="G16">
            <v>350.43</v>
          </cell>
          <cell r="H16">
            <v>350.43</v>
          </cell>
          <cell r="I16">
            <v>350.43</v>
          </cell>
          <cell r="J16">
            <v>350.43</v>
          </cell>
          <cell r="K16">
            <v>350.43</v>
          </cell>
          <cell r="L16">
            <v>350.43</v>
          </cell>
          <cell r="S16">
            <v>350.43</v>
          </cell>
          <cell r="T16">
            <v>350.43</v>
          </cell>
        </row>
        <row r="17">
          <cell r="C17">
            <v>30</v>
          </cell>
          <cell r="E17">
            <v>374.71</v>
          </cell>
          <cell r="G17">
            <v>367.52</v>
          </cell>
          <cell r="H17">
            <v>368.23</v>
          </cell>
          <cell r="I17">
            <v>365.19</v>
          </cell>
          <cell r="J17">
            <v>362.41</v>
          </cell>
          <cell r="K17">
            <v>362.18</v>
          </cell>
          <cell r="L17">
            <v>364.27</v>
          </cell>
          <cell r="S17">
            <v>367</v>
          </cell>
          <cell r="T17">
            <v>364.27</v>
          </cell>
        </row>
        <row r="18">
          <cell r="C18">
            <v>49</v>
          </cell>
          <cell r="E18">
            <v>271.94</v>
          </cell>
          <cell r="L18">
            <v>263.61</v>
          </cell>
          <cell r="S18">
            <v>263.52999999999997</v>
          </cell>
          <cell r="T18">
            <v>263.61</v>
          </cell>
        </row>
        <row r="19">
          <cell r="C19">
            <v>48</v>
          </cell>
          <cell r="E19">
            <v>300.88</v>
          </cell>
          <cell r="G19">
            <v>307.63</v>
          </cell>
          <cell r="H19">
            <v>307.14999999999998</v>
          </cell>
          <cell r="I19">
            <v>309.82</v>
          </cell>
          <cell r="J19">
            <v>308.47000000000003</v>
          </cell>
          <cell r="K19">
            <v>307.83</v>
          </cell>
          <cell r="L19">
            <v>308.01</v>
          </cell>
          <cell r="S19">
            <v>308.08999999999997</v>
          </cell>
          <cell r="T19">
            <v>308.01</v>
          </cell>
        </row>
        <row r="20">
          <cell r="C20">
            <v>39</v>
          </cell>
          <cell r="E20">
            <v>303.82</v>
          </cell>
          <cell r="G20">
            <v>303.8</v>
          </cell>
          <cell r="H20">
            <v>304.67</v>
          </cell>
          <cell r="I20">
            <v>304.64</v>
          </cell>
          <cell r="J20">
            <v>304.95</v>
          </cell>
          <cell r="K20">
            <v>304.23</v>
          </cell>
          <cell r="L20">
            <v>306.20999999999998</v>
          </cell>
          <cell r="S20">
            <v>306.57</v>
          </cell>
          <cell r="T20">
            <v>306.20999999999998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-Financiero"/>
      <sheetName val="Res-EF"/>
      <sheetName val="Res-Val"/>
      <sheetName val="Val-Obra"/>
      <sheetName val="Curva &quot;S&quot;"/>
      <sheetName val="IND CREPCO"/>
      <sheetName val="FP-(K)"/>
      <sheetName val="Reaj-Val"/>
      <sheetName val="Cont-Val"/>
      <sheetName val="Cont-Atraso"/>
    </sheetNames>
    <sheetDataSet>
      <sheetData sheetId="0" refreshError="1">
        <row r="4">
          <cell r="C4" t="str">
            <v>GOBIERNO REGIONAL PASCO</v>
          </cell>
        </row>
        <row r="5">
          <cell r="C5" t="str">
            <v>GERENCIA DE INFRAESTRUCTURA</v>
          </cell>
        </row>
        <row r="6">
          <cell r="C6" t="str">
            <v>SUB. GERENCIA DE OBRAS</v>
          </cell>
        </row>
        <row r="9">
          <cell r="C9" t="str">
            <v>EJECUTA  :  SERVICIOS MULTIPLE ECOCIMMS</v>
          </cell>
        </row>
        <row r="10">
          <cell r="C10" t="str">
            <v>FINANCIA  : RECURSOS ORDINARIOS</v>
          </cell>
        </row>
        <row r="11">
          <cell r="C11" t="str">
            <v>MOD. EJECUCION  :  A SUMA ALZADA</v>
          </cell>
        </row>
        <row r="17">
          <cell r="C17" t="str">
            <v xml:space="preserve">FECHA ENTREGA TERRENO  : 25/01/2005 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VAL"/>
      <sheetName val="oficio"/>
    </sheetNames>
    <sheetDataSet>
      <sheetData sheetId="0">
        <row r="21">
          <cell r="B21">
            <v>20619.63</v>
          </cell>
          <cell r="C21">
            <v>83744.06</v>
          </cell>
          <cell r="D21">
            <v>89794.19</v>
          </cell>
          <cell r="E21">
            <v>115024.75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Gen"/>
      <sheetName val="Ficha de Obra"/>
      <sheetName val="K-Estructuras"/>
      <sheetName val="K-Arquitectura"/>
      <sheetName val="K-Sanitarias"/>
      <sheetName val="K-Electricas"/>
      <sheetName val="contractual"/>
      <sheetName val="DESAGREGADO calend"/>
      <sheetName val="INTEGRAL"/>
      <sheetName val="Cal Contr CORREGIDO"/>
      <sheetName val="RES VAL"/>
      <sheetName val="AMORT A.D."/>
      <sheetName val="Ded-AD"/>
      <sheetName val="Amort y Ded AM 1"/>
      <sheetName val="Amort y Ded AM 2"/>
      <sheetName val="Cal Reaj"/>
      <sheetName val="RES VALOR pagadas a entregar"/>
      <sheetName val="Entrega Cobro"/>
      <sheetName val="RESVALOR PRELIQUIDACION"/>
      <sheetName val="GRAFICOS"/>
      <sheetName val="HISTORICO DE ADICIONALES"/>
      <sheetName val="Cal Contr"/>
      <sheetName val="IU"/>
    </sheetNames>
    <sheetDataSet>
      <sheetData sheetId="0" refreshError="1">
        <row r="30">
          <cell r="E30">
            <v>0.19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umen"/>
      <sheetName val="Descuento"/>
      <sheetName val="Valoriz"/>
      <sheetName val="Metrad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VAL ARQUITECTURA "/>
      <sheetName val="VAL ESTRUCTURA"/>
      <sheetName val="VAL ELECTRICAS"/>
      <sheetName val="VAL SANITARIAS"/>
      <sheetName val="MECANICAS"/>
      <sheetName val="RESUMEN 5"/>
      <sheetName val="Hoja2"/>
    </sheetNames>
    <sheetDataSet>
      <sheetData sheetId="0">
        <row r="13">
          <cell r="C13" t="str">
            <v>SUPERVISION  :    CONSORCIO SUPERVISOR 2 DE MAYO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 %"/>
      <sheetName val="FT"/>
      <sheetName val="PRESU. OP"/>
      <sheetName val="CAL VIG-OP"/>
      <sheetName val="VAL RECAL-OP"/>
      <sheetName val="CGO-OP"/>
      <sheetName val="VAL PAGADAS"/>
      <sheetName val="LIQ. FINAL"/>
      <sheetName val="COSTO TOTAL"/>
      <sheetName val="K-OP"/>
      <sheetName val="R-OP"/>
      <sheetName val="RNR-OP"/>
      <sheetName val="PENAL. MORA"/>
      <sheetName val="OTRAS PENAL."/>
      <sheetName val="INTERES LEGALES"/>
      <sheetName val="resumen 3"/>
      <sheetName val="resumen 2"/>
      <sheetName val="Hoja2"/>
      <sheetName val="PROGRAM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 %"/>
      <sheetName val="VAL. MENSUAL (2)"/>
      <sheetName val="FT"/>
      <sheetName val="PRESUPUESTO"/>
      <sheetName val="CALEN. PROG."/>
      <sheetName val="METRADO EJECUTADO"/>
      <sheetName val="CALEN. VALO."/>
      <sheetName val="VAL. MENSUAL"/>
      <sheetName val="PROG VS. EJEC"/>
      <sheetName val="CONTROL GEN. AVAN. OBRA."/>
      <sheetName val="S"/>
      <sheetName val="CURVA S (2)"/>
      <sheetName val="CURVA S"/>
      <sheetName val="CONTROL AVAN. FISICO (2)"/>
      <sheetName val="CONTROL AVAN. FISICO"/>
      <sheetName val="RESUMEN VAL."/>
      <sheetName val="R.F.C"/>
      <sheetName val="R PAGO MENSUAL"/>
      <sheetName val="CONTROL DE PAGOS"/>
      <sheetName val="RH-EM"/>
      <sheetName val="CONTROL GEN. AVAN. OBRA. (2)"/>
      <sheetName val="resumen 3"/>
      <sheetName val="resumen 2"/>
      <sheetName val="Hoja2"/>
      <sheetName val="PROGRAM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9">
          <cell r="E39" t="str">
            <v>PROGRAMADO</v>
          </cell>
          <cell r="I39" t="str">
            <v>EJECUTADO</v>
          </cell>
        </row>
        <row r="41">
          <cell r="C41">
            <v>0</v>
          </cell>
          <cell r="H41">
            <v>0</v>
          </cell>
          <cell r="L41">
            <v>0</v>
          </cell>
        </row>
        <row r="42">
          <cell r="C42">
            <v>1</v>
          </cell>
          <cell r="H42">
            <v>0.23669999999999999</v>
          </cell>
          <cell r="L42">
            <v>0.83819999999999995</v>
          </cell>
        </row>
        <row r="43">
          <cell r="C43">
            <v>2</v>
          </cell>
          <cell r="H43">
            <v>0.91290000000000004</v>
          </cell>
          <cell r="L43">
            <v>1</v>
          </cell>
        </row>
        <row r="44">
          <cell r="C44">
            <v>3</v>
          </cell>
          <cell r="H44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-Financiero"/>
      <sheetName val="Res-EF"/>
      <sheetName val="Res-Val"/>
      <sheetName val="PTO S"/>
      <sheetName val="RESID"/>
      <sheetName val="CASETA"/>
      <sheetName val="CERCO"/>
      <sheetName val="IMP A"/>
      <sheetName val="FLETE"/>
      <sheetName val="RESUMEN"/>
      <sheetName val="Curva &quot;S&quot;"/>
      <sheetName val="IND CREPCO"/>
      <sheetName val="FP-(K)"/>
      <sheetName val="Reaj-Val"/>
      <sheetName val="Cont-Val"/>
      <sheetName val="Cont-Atraso"/>
      <sheetName val="Hoja metrado"/>
      <sheetName val="Metrado enero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VAL-GRAL"/>
      <sheetName val="Val-F1"/>
      <sheetName val="Val-F2"/>
      <sheetName val="Val-F3"/>
      <sheetName val="Val-F4"/>
      <sheetName val="Val-F5"/>
      <sheetName val="VAL"/>
      <sheetName val="R-VAL"/>
      <sheetName val="COEF.REAJ"/>
      <sheetName val="Adelantos"/>
      <sheetName val="Curva S-Val"/>
      <sheetName val="Cont-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RESUMEN  PROGRAMA"/>
    </sheetNames>
    <sheetDataSet>
      <sheetData sheetId="0" refreshError="1">
        <row r="13">
          <cell r="H13">
            <v>1.28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s"/>
      <sheetName val="DATOS"/>
      <sheetName val="Resumen"/>
      <sheetName val="Cronograma Base"/>
      <sheetName val="Presupuesto 01"/>
      <sheetName val="Presupuesto 02"/>
      <sheetName val="Presupuesto 03"/>
      <sheetName val="Presupuesto 04"/>
      <sheetName val="Cronograma Mat OJO"/>
      <sheetName val="Formulas Polinómicas"/>
      <sheetName val="Polinomica"/>
      <sheetName val="FORPOL"/>
      <sheetName val="Adelanto Directo"/>
      <sheetName val="Justificacion del 60% OJO"/>
      <sheetName val="Metrado 01"/>
      <sheetName val="Metrado 02"/>
      <sheetName val="Metrado 03"/>
      <sheetName val="Metrado 04"/>
      <sheetName val="Val Formula 01"/>
      <sheetName val="Val Formula 02"/>
      <sheetName val="Val Formula 03"/>
      <sheetName val="Val Formula 04"/>
      <sheetName val="Deducción Efectivo"/>
      <sheetName val="Reajuste"/>
      <sheetName val="Deduccion Materiales"/>
      <sheetName val="Adelanto de Materiales EXP"/>
      <sheetName val="Facturación"/>
      <sheetName val="Adelanto de Materiales FOR"/>
      <sheetName val="Resumen ADELANTO"/>
      <sheetName val="Resumen de Valorización"/>
      <sheetName val="Resumen de Pago"/>
      <sheetName val="INDICES"/>
      <sheetName val="Avance de obra"/>
    </sheetNames>
    <sheetDataSet>
      <sheetData sheetId="0" refreshError="1"/>
      <sheetData sheetId="1" refreshError="1">
        <row r="3">
          <cell r="B3" t="str">
            <v>“CONSTRUCCION DEL COMPLEJO EDUCATIVO DE NIVEL PRIMARIO DE JESUS, PROVINCIA DE LAURICOCHA - HUANUCO”</v>
          </cell>
        </row>
        <row r="6">
          <cell r="B6">
            <v>3413067.6839999994</v>
          </cell>
        </row>
        <row r="8">
          <cell r="B8">
            <v>1</v>
          </cell>
        </row>
        <row r="9">
          <cell r="B9">
            <v>40118</v>
          </cell>
        </row>
        <row r="13">
          <cell r="B13" t="str">
            <v>18 de Febrero de 2011</v>
          </cell>
        </row>
        <row r="16">
          <cell r="E16">
            <v>40118</v>
          </cell>
        </row>
        <row r="17">
          <cell r="E17">
            <v>40299</v>
          </cell>
        </row>
        <row r="20">
          <cell r="B20">
            <v>18</v>
          </cell>
        </row>
        <row r="25">
          <cell r="A25" t="str">
            <v>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ronograma DAMASO BERAUN"/>
    </sheetNames>
    <sheetDataSet>
      <sheetData sheetId="0">
        <row r="2">
          <cell r="A2" t="str">
            <v>01.01</v>
          </cell>
          <cell r="B2" t="str">
            <v xml:space="preserve">   TRABAJOS PRELIMINARES</v>
          </cell>
          <cell r="F2">
            <v>53313.87</v>
          </cell>
        </row>
        <row r="3">
          <cell r="A3" t="str">
            <v>01.02</v>
          </cell>
          <cell r="B3" t="str">
            <v xml:space="preserve">   MOVIMIENTO DE TIERRAS</v>
          </cell>
          <cell r="F3">
            <v>23414.07</v>
          </cell>
        </row>
        <row r="4">
          <cell r="A4" t="str">
            <v>01.03</v>
          </cell>
          <cell r="B4" t="str">
            <v xml:space="preserve">   OBRAS DE CONCRETO SIMPLE</v>
          </cell>
          <cell r="F4">
            <v>36462.870000000003</v>
          </cell>
        </row>
        <row r="5">
          <cell r="A5" t="str">
            <v>01.04</v>
          </cell>
          <cell r="B5" t="str">
            <v xml:space="preserve">   OBRAS DE CONCRETO ARMADO</v>
          </cell>
          <cell r="F5">
            <v>248764.85</v>
          </cell>
        </row>
        <row r="6">
          <cell r="A6" t="str">
            <v>01.05</v>
          </cell>
          <cell r="B6" t="str">
            <v xml:space="preserve">   ESTRUCTURAS DE MADERA Y COBERTURA</v>
          </cell>
          <cell r="F6">
            <v>31869.16</v>
          </cell>
        </row>
        <row r="7">
          <cell r="A7" t="str">
            <v>01.06</v>
          </cell>
          <cell r="B7" t="str">
            <v xml:space="preserve">   MUROS Y TABIQUES DE ALBAÑILERIA</v>
          </cell>
          <cell r="F7">
            <v>43683.199999999997</v>
          </cell>
        </row>
        <row r="8">
          <cell r="A8" t="str">
            <v>01.07</v>
          </cell>
          <cell r="B8" t="str">
            <v xml:space="preserve">   REVOQUES ENLUCIDOS Y MOLDURAS</v>
          </cell>
          <cell r="F8">
            <v>48621.09</v>
          </cell>
        </row>
        <row r="9">
          <cell r="A9" t="str">
            <v>01.08</v>
          </cell>
          <cell r="B9" t="str">
            <v xml:space="preserve">   CIELORRASOS</v>
          </cell>
          <cell r="F9">
            <v>34638.03</v>
          </cell>
        </row>
        <row r="10">
          <cell r="A10" t="str">
            <v>01.09</v>
          </cell>
          <cell r="B10" t="str">
            <v xml:space="preserve">   PISOS Y VEREDAS</v>
          </cell>
          <cell r="F10">
            <v>52181.94</v>
          </cell>
        </row>
        <row r="11">
          <cell r="A11" t="str">
            <v>01.10</v>
          </cell>
          <cell r="B11" t="str">
            <v xml:space="preserve">   ZOCALOS, CONTRAZOCALOS Y REVESTIMIENTOS</v>
          </cell>
          <cell r="F11">
            <v>20431.68</v>
          </cell>
        </row>
        <row r="12">
          <cell r="A12" t="str">
            <v>01.11</v>
          </cell>
          <cell r="B12" t="str">
            <v xml:space="preserve">   CARPINTERIA DE MADERA</v>
          </cell>
          <cell r="F12">
            <v>16964.77</v>
          </cell>
        </row>
        <row r="13">
          <cell r="A13" t="str">
            <v>01.12</v>
          </cell>
          <cell r="B13" t="str">
            <v xml:space="preserve">   CARPINTERIA METALICA</v>
          </cell>
          <cell r="F13">
            <v>29668.61</v>
          </cell>
        </row>
        <row r="14">
          <cell r="A14" t="str">
            <v>01.13</v>
          </cell>
          <cell r="B14" t="str">
            <v xml:space="preserve">   CERRAJERIA</v>
          </cell>
          <cell r="F14">
            <v>1060.1400000000001</v>
          </cell>
        </row>
        <row r="15">
          <cell r="A15" t="str">
            <v>01.14</v>
          </cell>
          <cell r="B15" t="str">
            <v xml:space="preserve">   VIDRIOS, CRISTALES Y SIMILARES</v>
          </cell>
          <cell r="F15">
            <v>6074.71</v>
          </cell>
        </row>
        <row r="16">
          <cell r="A16" t="str">
            <v>01.15</v>
          </cell>
          <cell r="B16" t="str">
            <v xml:space="preserve">   PINTURA</v>
          </cell>
          <cell r="F16">
            <v>19053.03</v>
          </cell>
        </row>
        <row r="17">
          <cell r="A17" t="str">
            <v>01.16</v>
          </cell>
          <cell r="B17" t="str">
            <v xml:space="preserve">   APARATOS SANITARIOS Y ACCESORIOS </v>
          </cell>
          <cell r="F17">
            <v>1837.92</v>
          </cell>
        </row>
        <row r="18">
          <cell r="A18" t="str">
            <v>01.17</v>
          </cell>
          <cell r="B18" t="str">
            <v xml:space="preserve">   INSTALACIONES SANITARIAS DE DESAGUE</v>
          </cell>
          <cell r="F18">
            <v>2453.75</v>
          </cell>
        </row>
        <row r="19">
          <cell r="A19" t="str">
            <v>01.18</v>
          </cell>
          <cell r="B19" t="str">
            <v xml:space="preserve">   SISTEMA DE AGUA FRIA</v>
          </cell>
          <cell r="F19">
            <v>1677.38</v>
          </cell>
        </row>
        <row r="20">
          <cell r="A20" t="str">
            <v>01.19</v>
          </cell>
          <cell r="B20" t="str">
            <v xml:space="preserve">   SISTEMA DE AGUA DE LLUVIA</v>
          </cell>
          <cell r="F20">
            <v>6420.74</v>
          </cell>
        </row>
        <row r="21">
          <cell r="A21" t="str">
            <v>01.20</v>
          </cell>
          <cell r="B21" t="str">
            <v xml:space="preserve">   INSTALACIONES ELECTRICAS</v>
          </cell>
          <cell r="F21">
            <v>23125.11</v>
          </cell>
        </row>
        <row r="22">
          <cell r="A22" t="str">
            <v>01.21</v>
          </cell>
          <cell r="B22" t="str">
            <v xml:space="preserve">   MESA DE TRABAJO EN LABORATORIO</v>
          </cell>
          <cell r="F22">
            <v>19573.02</v>
          </cell>
        </row>
        <row r="23">
          <cell r="A23" t="str">
            <v>01.22</v>
          </cell>
          <cell r="B23" t="str">
            <v xml:space="preserve">   OTROS</v>
          </cell>
          <cell r="F23">
            <v>10889.07</v>
          </cell>
        </row>
        <row r="25">
          <cell r="A25" t="str">
            <v>01</v>
          </cell>
          <cell r="B25" t="str">
            <v>MODULO ADMINISTRATIVO</v>
          </cell>
          <cell r="F25">
            <v>79598.83</v>
          </cell>
        </row>
        <row r="26">
          <cell r="A26" t="str">
            <v>01.01</v>
          </cell>
          <cell r="B26" t="str">
            <v xml:space="preserve">   TRABAJOS PRELIMINARES</v>
          </cell>
          <cell r="F26">
            <v>245.53</v>
          </cell>
        </row>
        <row r="27">
          <cell r="A27" t="str">
            <v>01.02</v>
          </cell>
          <cell r="B27" t="str">
            <v xml:space="preserve">   MOVIMIENTO DE TIERRAS</v>
          </cell>
          <cell r="F27">
            <v>2593.12</v>
          </cell>
        </row>
        <row r="28">
          <cell r="A28" t="str">
            <v>01.03</v>
          </cell>
          <cell r="B28" t="str">
            <v xml:space="preserve">   OBRAS DE CONCRETO SIMPLE</v>
          </cell>
          <cell r="F28">
            <v>6635.13</v>
          </cell>
        </row>
        <row r="29">
          <cell r="A29" t="str">
            <v>01.04</v>
          </cell>
          <cell r="B29" t="str">
            <v xml:space="preserve">   OBRAS DE CONCRETO ARMADO</v>
          </cell>
          <cell r="F29">
            <v>9807.15</v>
          </cell>
        </row>
        <row r="30">
          <cell r="A30" t="str">
            <v>01.05</v>
          </cell>
          <cell r="B30" t="str">
            <v xml:space="preserve">   ESTRUCTURAS DE MADERA Y COBERTURA</v>
          </cell>
          <cell r="F30">
            <v>7926.28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"/>
      <sheetName val="model_CERCO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ulos"/>
      <sheetName val="DATOS"/>
      <sheetName val="Resumen"/>
      <sheetName val="Cronograma Base"/>
      <sheetName val="Presupuesto 01"/>
      <sheetName val="Presupuesto 02"/>
      <sheetName val="Presupuesto 03"/>
      <sheetName val="Presupuesto 04"/>
      <sheetName val="Cronograma Mat OJO"/>
      <sheetName val="Formulas Polinómicas"/>
      <sheetName val="Polinomica"/>
      <sheetName val="FORPOL"/>
      <sheetName val="Adelanto Directo"/>
      <sheetName val="Justificacion del 60% OJO"/>
      <sheetName val="Metrado 01"/>
      <sheetName val="Metrado 02"/>
      <sheetName val="Metrado 03"/>
      <sheetName val="Metrado 04"/>
      <sheetName val="Val Formula 01"/>
      <sheetName val="Val Formula 02"/>
      <sheetName val="Val Formula 03"/>
      <sheetName val="Val Formula 04"/>
      <sheetName val="Deducción Efectivo"/>
      <sheetName val="Reajuste"/>
      <sheetName val="Deduccion Materiales"/>
      <sheetName val="Adelanto de Materiales EXP"/>
      <sheetName val="Facturación"/>
      <sheetName val="Adelanto de Materiales FOR"/>
      <sheetName val="Resumen ADELANTO"/>
      <sheetName val="Resumen de Valorización"/>
      <sheetName val="Resumen de Pago"/>
      <sheetName val="INDICES"/>
      <sheetName val="Avance de obra"/>
    </sheetNames>
    <sheetDataSet>
      <sheetData sheetId="0"/>
      <sheetData sheetId="1">
        <row r="12">
          <cell r="B12" t="str">
            <v>09</v>
          </cell>
        </row>
        <row r="16">
          <cell r="B16">
            <v>0.20000000093757297</v>
          </cell>
        </row>
        <row r="25">
          <cell r="B25" t="str">
            <v>CONSTRUCCION DE 4 MODULOS</v>
          </cell>
        </row>
        <row r="26">
          <cell r="B26" t="str">
            <v>LOSA MULTIDEPORTIVA</v>
          </cell>
        </row>
        <row r="27">
          <cell r="B27" t="str">
            <v>VEREDAS, RAMPAS DE ACCESO Y SARDINELES</v>
          </cell>
        </row>
        <row r="28">
          <cell r="B28" t="str">
            <v>PLAN DE MANEJO AMBIENTAL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-Val"/>
      <sheetName val="Val-Obra"/>
      <sheetName val="Curva S-Val"/>
      <sheetName val="IND CREPCO"/>
      <sheetName val="FP-( K )"/>
      <sheetName val="Reajuste"/>
      <sheetName val="Calc-Reaj-NO-Crresp"/>
      <sheetName val="Amortiz Mat"/>
      <sheetName val="Deduc-NO-Corresp"/>
      <sheetName val="Cont-Atraso"/>
      <sheetName val="Adelantos"/>
      <sheetName val="Cont-Amortz"/>
      <sheetName val="Cont-Val(2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56"/>
  <sheetViews>
    <sheetView showGridLines="0" showZeros="0" view="pageBreakPreview" zoomScale="75" zoomScaleNormal="100" zoomScaleSheetLayoutView="75" workbookViewId="0">
      <selection activeCell="C34" sqref="A9:C34"/>
    </sheetView>
  </sheetViews>
  <sheetFormatPr baseColWidth="10" defaultColWidth="14.5546875" defaultRowHeight="10.199999999999999" x14ac:dyDescent="0.2"/>
  <cols>
    <col min="1" max="1" width="7.33203125" style="36" customWidth="1"/>
    <col min="2" max="2" width="52.6640625" style="36" customWidth="1"/>
    <col min="3" max="3" width="12.5546875" style="39" customWidth="1"/>
    <col min="4" max="4" width="12.33203125" style="37" hidden="1" customWidth="1"/>
    <col min="5" max="6" width="11.5546875" style="36" hidden="1" customWidth="1"/>
    <col min="7" max="7" width="10.33203125" style="36" customWidth="1"/>
    <col min="8" max="8" width="12.6640625" style="36" customWidth="1"/>
    <col min="9" max="10" width="11.5546875" style="36" hidden="1" customWidth="1"/>
    <col min="11" max="11" width="13" style="36" hidden="1" customWidth="1"/>
    <col min="12" max="12" width="14.5546875" style="36"/>
    <col min="13" max="13" width="12.109375" style="36" customWidth="1"/>
    <col min="14" max="17" width="14.5546875" style="36"/>
    <col min="18" max="18" width="12" style="36" customWidth="1"/>
    <col min="19" max="247" width="14.5546875" style="36"/>
    <col min="248" max="248" width="7.33203125" style="36" customWidth="1"/>
    <col min="249" max="249" width="14.5546875" style="36" customWidth="1"/>
    <col min="250" max="251" width="11.6640625" style="36" customWidth="1"/>
    <col min="252" max="252" width="3.88671875" style="36" customWidth="1"/>
    <col min="253" max="253" width="5.33203125" style="36" customWidth="1"/>
    <col min="254" max="254" width="5.6640625" style="36" customWidth="1"/>
    <col min="255" max="255" width="3" style="36" customWidth="1"/>
    <col min="256" max="256" width="12.6640625" style="36" customWidth="1"/>
    <col min="257" max="257" width="9.6640625" style="36" customWidth="1"/>
    <col min="258" max="258" width="13.6640625" style="36" customWidth="1"/>
    <col min="259" max="259" width="9.6640625" style="36" customWidth="1"/>
    <col min="260" max="260" width="13.6640625" style="36" customWidth="1"/>
    <col min="261" max="261" width="9.6640625" style="36" customWidth="1"/>
    <col min="262" max="262" width="13.6640625" style="36" customWidth="1"/>
    <col min="263" max="263" width="9.6640625" style="36" customWidth="1"/>
    <col min="264" max="264" width="13.6640625" style="36" customWidth="1"/>
    <col min="265" max="503" width="14.5546875" style="36"/>
    <col min="504" max="504" width="7.33203125" style="36" customWidth="1"/>
    <col min="505" max="505" width="14.5546875" style="36" customWidth="1"/>
    <col min="506" max="507" width="11.6640625" style="36" customWidth="1"/>
    <col min="508" max="508" width="3.88671875" style="36" customWidth="1"/>
    <col min="509" max="509" width="5.33203125" style="36" customWidth="1"/>
    <col min="510" max="510" width="5.6640625" style="36" customWidth="1"/>
    <col min="511" max="511" width="3" style="36" customWidth="1"/>
    <col min="512" max="512" width="12.6640625" style="36" customWidth="1"/>
    <col min="513" max="513" width="9.6640625" style="36" customWidth="1"/>
    <col min="514" max="514" width="13.6640625" style="36" customWidth="1"/>
    <col min="515" max="515" width="9.6640625" style="36" customWidth="1"/>
    <col min="516" max="516" width="13.6640625" style="36" customWidth="1"/>
    <col min="517" max="517" width="9.6640625" style="36" customWidth="1"/>
    <col min="518" max="518" width="13.6640625" style="36" customWidth="1"/>
    <col min="519" max="519" width="9.6640625" style="36" customWidth="1"/>
    <col min="520" max="520" width="13.6640625" style="36" customWidth="1"/>
    <col min="521" max="759" width="14.5546875" style="36"/>
    <col min="760" max="760" width="7.33203125" style="36" customWidth="1"/>
    <col min="761" max="761" width="14.5546875" style="36" customWidth="1"/>
    <col min="762" max="763" width="11.6640625" style="36" customWidth="1"/>
    <col min="764" max="764" width="3.88671875" style="36" customWidth="1"/>
    <col min="765" max="765" width="5.33203125" style="36" customWidth="1"/>
    <col min="766" max="766" width="5.6640625" style="36" customWidth="1"/>
    <col min="767" max="767" width="3" style="36" customWidth="1"/>
    <col min="768" max="768" width="12.6640625" style="36" customWidth="1"/>
    <col min="769" max="769" width="9.6640625" style="36" customWidth="1"/>
    <col min="770" max="770" width="13.6640625" style="36" customWidth="1"/>
    <col min="771" max="771" width="9.6640625" style="36" customWidth="1"/>
    <col min="772" max="772" width="13.6640625" style="36" customWidth="1"/>
    <col min="773" max="773" width="9.6640625" style="36" customWidth="1"/>
    <col min="774" max="774" width="13.6640625" style="36" customWidth="1"/>
    <col min="775" max="775" width="9.6640625" style="36" customWidth="1"/>
    <col min="776" max="776" width="13.6640625" style="36" customWidth="1"/>
    <col min="777" max="1015" width="14.5546875" style="36"/>
    <col min="1016" max="1016" width="7.33203125" style="36" customWidth="1"/>
    <col min="1017" max="1017" width="14.5546875" style="36" customWidth="1"/>
    <col min="1018" max="1019" width="11.6640625" style="36" customWidth="1"/>
    <col min="1020" max="1020" width="3.88671875" style="36" customWidth="1"/>
    <col min="1021" max="1021" width="5.33203125" style="36" customWidth="1"/>
    <col min="1022" max="1022" width="5.6640625" style="36" customWidth="1"/>
    <col min="1023" max="1023" width="3" style="36" customWidth="1"/>
    <col min="1024" max="1024" width="12.6640625" style="36" customWidth="1"/>
    <col min="1025" max="1025" width="9.6640625" style="36" customWidth="1"/>
    <col min="1026" max="1026" width="13.6640625" style="36" customWidth="1"/>
    <col min="1027" max="1027" width="9.6640625" style="36" customWidth="1"/>
    <col min="1028" max="1028" width="13.6640625" style="36" customWidth="1"/>
    <col min="1029" max="1029" width="9.6640625" style="36" customWidth="1"/>
    <col min="1030" max="1030" width="13.6640625" style="36" customWidth="1"/>
    <col min="1031" max="1031" width="9.6640625" style="36" customWidth="1"/>
    <col min="1032" max="1032" width="13.6640625" style="36" customWidth="1"/>
    <col min="1033" max="1271" width="14.5546875" style="36"/>
    <col min="1272" max="1272" width="7.33203125" style="36" customWidth="1"/>
    <col min="1273" max="1273" width="14.5546875" style="36" customWidth="1"/>
    <col min="1274" max="1275" width="11.6640625" style="36" customWidth="1"/>
    <col min="1276" max="1276" width="3.88671875" style="36" customWidth="1"/>
    <col min="1277" max="1277" width="5.33203125" style="36" customWidth="1"/>
    <col min="1278" max="1278" width="5.6640625" style="36" customWidth="1"/>
    <col min="1279" max="1279" width="3" style="36" customWidth="1"/>
    <col min="1280" max="1280" width="12.6640625" style="36" customWidth="1"/>
    <col min="1281" max="1281" width="9.6640625" style="36" customWidth="1"/>
    <col min="1282" max="1282" width="13.6640625" style="36" customWidth="1"/>
    <col min="1283" max="1283" width="9.6640625" style="36" customWidth="1"/>
    <col min="1284" max="1284" width="13.6640625" style="36" customWidth="1"/>
    <col min="1285" max="1285" width="9.6640625" style="36" customWidth="1"/>
    <col min="1286" max="1286" width="13.6640625" style="36" customWidth="1"/>
    <col min="1287" max="1287" width="9.6640625" style="36" customWidth="1"/>
    <col min="1288" max="1288" width="13.6640625" style="36" customWidth="1"/>
    <col min="1289" max="1527" width="14.5546875" style="36"/>
    <col min="1528" max="1528" width="7.33203125" style="36" customWidth="1"/>
    <col min="1529" max="1529" width="14.5546875" style="36" customWidth="1"/>
    <col min="1530" max="1531" width="11.6640625" style="36" customWidth="1"/>
    <col min="1532" max="1532" width="3.88671875" style="36" customWidth="1"/>
    <col min="1533" max="1533" width="5.33203125" style="36" customWidth="1"/>
    <col min="1534" max="1534" width="5.6640625" style="36" customWidth="1"/>
    <col min="1535" max="1535" width="3" style="36" customWidth="1"/>
    <col min="1536" max="1536" width="12.6640625" style="36" customWidth="1"/>
    <col min="1537" max="1537" width="9.6640625" style="36" customWidth="1"/>
    <col min="1538" max="1538" width="13.6640625" style="36" customWidth="1"/>
    <col min="1539" max="1539" width="9.6640625" style="36" customWidth="1"/>
    <col min="1540" max="1540" width="13.6640625" style="36" customWidth="1"/>
    <col min="1541" max="1541" width="9.6640625" style="36" customWidth="1"/>
    <col min="1542" max="1542" width="13.6640625" style="36" customWidth="1"/>
    <col min="1543" max="1543" width="9.6640625" style="36" customWidth="1"/>
    <col min="1544" max="1544" width="13.6640625" style="36" customWidth="1"/>
    <col min="1545" max="1783" width="14.5546875" style="36"/>
    <col min="1784" max="1784" width="7.33203125" style="36" customWidth="1"/>
    <col min="1785" max="1785" width="14.5546875" style="36" customWidth="1"/>
    <col min="1786" max="1787" width="11.6640625" style="36" customWidth="1"/>
    <col min="1788" max="1788" width="3.88671875" style="36" customWidth="1"/>
    <col min="1789" max="1789" width="5.33203125" style="36" customWidth="1"/>
    <col min="1790" max="1790" width="5.6640625" style="36" customWidth="1"/>
    <col min="1791" max="1791" width="3" style="36" customWidth="1"/>
    <col min="1792" max="1792" width="12.6640625" style="36" customWidth="1"/>
    <col min="1793" max="1793" width="9.6640625" style="36" customWidth="1"/>
    <col min="1794" max="1794" width="13.6640625" style="36" customWidth="1"/>
    <col min="1795" max="1795" width="9.6640625" style="36" customWidth="1"/>
    <col min="1796" max="1796" width="13.6640625" style="36" customWidth="1"/>
    <col min="1797" max="1797" width="9.6640625" style="36" customWidth="1"/>
    <col min="1798" max="1798" width="13.6640625" style="36" customWidth="1"/>
    <col min="1799" max="1799" width="9.6640625" style="36" customWidth="1"/>
    <col min="1800" max="1800" width="13.6640625" style="36" customWidth="1"/>
    <col min="1801" max="2039" width="14.5546875" style="36"/>
    <col min="2040" max="2040" width="7.33203125" style="36" customWidth="1"/>
    <col min="2041" max="2041" width="14.5546875" style="36" customWidth="1"/>
    <col min="2042" max="2043" width="11.6640625" style="36" customWidth="1"/>
    <col min="2044" max="2044" width="3.88671875" style="36" customWidth="1"/>
    <col min="2045" max="2045" width="5.33203125" style="36" customWidth="1"/>
    <col min="2046" max="2046" width="5.6640625" style="36" customWidth="1"/>
    <col min="2047" max="2047" width="3" style="36" customWidth="1"/>
    <col min="2048" max="2048" width="12.6640625" style="36" customWidth="1"/>
    <col min="2049" max="2049" width="9.6640625" style="36" customWidth="1"/>
    <col min="2050" max="2050" width="13.6640625" style="36" customWidth="1"/>
    <col min="2051" max="2051" width="9.6640625" style="36" customWidth="1"/>
    <col min="2052" max="2052" width="13.6640625" style="36" customWidth="1"/>
    <col min="2053" max="2053" width="9.6640625" style="36" customWidth="1"/>
    <col min="2054" max="2054" width="13.6640625" style="36" customWidth="1"/>
    <col min="2055" max="2055" width="9.6640625" style="36" customWidth="1"/>
    <col min="2056" max="2056" width="13.6640625" style="36" customWidth="1"/>
    <col min="2057" max="2295" width="14.5546875" style="36"/>
    <col min="2296" max="2296" width="7.33203125" style="36" customWidth="1"/>
    <col min="2297" max="2297" width="14.5546875" style="36" customWidth="1"/>
    <col min="2298" max="2299" width="11.6640625" style="36" customWidth="1"/>
    <col min="2300" max="2300" width="3.88671875" style="36" customWidth="1"/>
    <col min="2301" max="2301" width="5.33203125" style="36" customWidth="1"/>
    <col min="2302" max="2302" width="5.6640625" style="36" customWidth="1"/>
    <col min="2303" max="2303" width="3" style="36" customWidth="1"/>
    <col min="2304" max="2304" width="12.6640625" style="36" customWidth="1"/>
    <col min="2305" max="2305" width="9.6640625" style="36" customWidth="1"/>
    <col min="2306" max="2306" width="13.6640625" style="36" customWidth="1"/>
    <col min="2307" max="2307" width="9.6640625" style="36" customWidth="1"/>
    <col min="2308" max="2308" width="13.6640625" style="36" customWidth="1"/>
    <col min="2309" max="2309" width="9.6640625" style="36" customWidth="1"/>
    <col min="2310" max="2310" width="13.6640625" style="36" customWidth="1"/>
    <col min="2311" max="2311" width="9.6640625" style="36" customWidth="1"/>
    <col min="2312" max="2312" width="13.6640625" style="36" customWidth="1"/>
    <col min="2313" max="2551" width="14.5546875" style="36"/>
    <col min="2552" max="2552" width="7.33203125" style="36" customWidth="1"/>
    <col min="2553" max="2553" width="14.5546875" style="36" customWidth="1"/>
    <col min="2554" max="2555" width="11.6640625" style="36" customWidth="1"/>
    <col min="2556" max="2556" width="3.88671875" style="36" customWidth="1"/>
    <col min="2557" max="2557" width="5.33203125" style="36" customWidth="1"/>
    <col min="2558" max="2558" width="5.6640625" style="36" customWidth="1"/>
    <col min="2559" max="2559" width="3" style="36" customWidth="1"/>
    <col min="2560" max="2560" width="12.6640625" style="36" customWidth="1"/>
    <col min="2561" max="2561" width="9.6640625" style="36" customWidth="1"/>
    <col min="2562" max="2562" width="13.6640625" style="36" customWidth="1"/>
    <col min="2563" max="2563" width="9.6640625" style="36" customWidth="1"/>
    <col min="2564" max="2564" width="13.6640625" style="36" customWidth="1"/>
    <col min="2565" max="2565" width="9.6640625" style="36" customWidth="1"/>
    <col min="2566" max="2566" width="13.6640625" style="36" customWidth="1"/>
    <col min="2567" max="2567" width="9.6640625" style="36" customWidth="1"/>
    <col min="2568" max="2568" width="13.6640625" style="36" customWidth="1"/>
    <col min="2569" max="2807" width="14.5546875" style="36"/>
    <col min="2808" max="2808" width="7.33203125" style="36" customWidth="1"/>
    <col min="2809" max="2809" width="14.5546875" style="36" customWidth="1"/>
    <col min="2810" max="2811" width="11.6640625" style="36" customWidth="1"/>
    <col min="2812" max="2812" width="3.88671875" style="36" customWidth="1"/>
    <col min="2813" max="2813" width="5.33203125" style="36" customWidth="1"/>
    <col min="2814" max="2814" width="5.6640625" style="36" customWidth="1"/>
    <col min="2815" max="2815" width="3" style="36" customWidth="1"/>
    <col min="2816" max="2816" width="12.6640625" style="36" customWidth="1"/>
    <col min="2817" max="2817" width="9.6640625" style="36" customWidth="1"/>
    <col min="2818" max="2818" width="13.6640625" style="36" customWidth="1"/>
    <col min="2819" max="2819" width="9.6640625" style="36" customWidth="1"/>
    <col min="2820" max="2820" width="13.6640625" style="36" customWidth="1"/>
    <col min="2821" max="2821" width="9.6640625" style="36" customWidth="1"/>
    <col min="2822" max="2822" width="13.6640625" style="36" customWidth="1"/>
    <col min="2823" max="2823" width="9.6640625" style="36" customWidth="1"/>
    <col min="2824" max="2824" width="13.6640625" style="36" customWidth="1"/>
    <col min="2825" max="3063" width="14.5546875" style="36"/>
    <col min="3064" max="3064" width="7.33203125" style="36" customWidth="1"/>
    <col min="3065" max="3065" width="14.5546875" style="36" customWidth="1"/>
    <col min="3066" max="3067" width="11.6640625" style="36" customWidth="1"/>
    <col min="3068" max="3068" width="3.88671875" style="36" customWidth="1"/>
    <col min="3069" max="3069" width="5.33203125" style="36" customWidth="1"/>
    <col min="3070" max="3070" width="5.6640625" style="36" customWidth="1"/>
    <col min="3071" max="3071" width="3" style="36" customWidth="1"/>
    <col min="3072" max="3072" width="12.6640625" style="36" customWidth="1"/>
    <col min="3073" max="3073" width="9.6640625" style="36" customWidth="1"/>
    <col min="3074" max="3074" width="13.6640625" style="36" customWidth="1"/>
    <col min="3075" max="3075" width="9.6640625" style="36" customWidth="1"/>
    <col min="3076" max="3076" width="13.6640625" style="36" customWidth="1"/>
    <col min="3077" max="3077" width="9.6640625" style="36" customWidth="1"/>
    <col min="3078" max="3078" width="13.6640625" style="36" customWidth="1"/>
    <col min="3079" max="3079" width="9.6640625" style="36" customWidth="1"/>
    <col min="3080" max="3080" width="13.6640625" style="36" customWidth="1"/>
    <col min="3081" max="3319" width="14.5546875" style="36"/>
    <col min="3320" max="3320" width="7.33203125" style="36" customWidth="1"/>
    <col min="3321" max="3321" width="14.5546875" style="36" customWidth="1"/>
    <col min="3322" max="3323" width="11.6640625" style="36" customWidth="1"/>
    <col min="3324" max="3324" width="3.88671875" style="36" customWidth="1"/>
    <col min="3325" max="3325" width="5.33203125" style="36" customWidth="1"/>
    <col min="3326" max="3326" width="5.6640625" style="36" customWidth="1"/>
    <col min="3327" max="3327" width="3" style="36" customWidth="1"/>
    <col min="3328" max="3328" width="12.6640625" style="36" customWidth="1"/>
    <col min="3329" max="3329" width="9.6640625" style="36" customWidth="1"/>
    <col min="3330" max="3330" width="13.6640625" style="36" customWidth="1"/>
    <col min="3331" max="3331" width="9.6640625" style="36" customWidth="1"/>
    <col min="3332" max="3332" width="13.6640625" style="36" customWidth="1"/>
    <col min="3333" max="3333" width="9.6640625" style="36" customWidth="1"/>
    <col min="3334" max="3334" width="13.6640625" style="36" customWidth="1"/>
    <col min="3335" max="3335" width="9.6640625" style="36" customWidth="1"/>
    <col min="3336" max="3336" width="13.6640625" style="36" customWidth="1"/>
    <col min="3337" max="3575" width="14.5546875" style="36"/>
    <col min="3576" max="3576" width="7.33203125" style="36" customWidth="1"/>
    <col min="3577" max="3577" width="14.5546875" style="36" customWidth="1"/>
    <col min="3578" max="3579" width="11.6640625" style="36" customWidth="1"/>
    <col min="3580" max="3580" width="3.88671875" style="36" customWidth="1"/>
    <col min="3581" max="3581" width="5.33203125" style="36" customWidth="1"/>
    <col min="3582" max="3582" width="5.6640625" style="36" customWidth="1"/>
    <col min="3583" max="3583" width="3" style="36" customWidth="1"/>
    <col min="3584" max="3584" width="12.6640625" style="36" customWidth="1"/>
    <col min="3585" max="3585" width="9.6640625" style="36" customWidth="1"/>
    <col min="3586" max="3586" width="13.6640625" style="36" customWidth="1"/>
    <col min="3587" max="3587" width="9.6640625" style="36" customWidth="1"/>
    <col min="3588" max="3588" width="13.6640625" style="36" customWidth="1"/>
    <col min="3589" max="3589" width="9.6640625" style="36" customWidth="1"/>
    <col min="3590" max="3590" width="13.6640625" style="36" customWidth="1"/>
    <col min="3591" max="3591" width="9.6640625" style="36" customWidth="1"/>
    <col min="3592" max="3592" width="13.6640625" style="36" customWidth="1"/>
    <col min="3593" max="3831" width="14.5546875" style="36"/>
    <col min="3832" max="3832" width="7.33203125" style="36" customWidth="1"/>
    <col min="3833" max="3833" width="14.5546875" style="36" customWidth="1"/>
    <col min="3834" max="3835" width="11.6640625" style="36" customWidth="1"/>
    <col min="3836" max="3836" width="3.88671875" style="36" customWidth="1"/>
    <col min="3837" max="3837" width="5.33203125" style="36" customWidth="1"/>
    <col min="3838" max="3838" width="5.6640625" style="36" customWidth="1"/>
    <col min="3839" max="3839" width="3" style="36" customWidth="1"/>
    <col min="3840" max="3840" width="12.6640625" style="36" customWidth="1"/>
    <col min="3841" max="3841" width="9.6640625" style="36" customWidth="1"/>
    <col min="3842" max="3842" width="13.6640625" style="36" customWidth="1"/>
    <col min="3843" max="3843" width="9.6640625" style="36" customWidth="1"/>
    <col min="3844" max="3844" width="13.6640625" style="36" customWidth="1"/>
    <col min="3845" max="3845" width="9.6640625" style="36" customWidth="1"/>
    <col min="3846" max="3846" width="13.6640625" style="36" customWidth="1"/>
    <col min="3847" max="3847" width="9.6640625" style="36" customWidth="1"/>
    <col min="3848" max="3848" width="13.6640625" style="36" customWidth="1"/>
    <col min="3849" max="4087" width="14.5546875" style="36"/>
    <col min="4088" max="4088" width="7.33203125" style="36" customWidth="1"/>
    <col min="4089" max="4089" width="14.5546875" style="36" customWidth="1"/>
    <col min="4090" max="4091" width="11.6640625" style="36" customWidth="1"/>
    <col min="4092" max="4092" width="3.88671875" style="36" customWidth="1"/>
    <col min="4093" max="4093" width="5.33203125" style="36" customWidth="1"/>
    <col min="4094" max="4094" width="5.6640625" style="36" customWidth="1"/>
    <col min="4095" max="4095" width="3" style="36" customWidth="1"/>
    <col min="4096" max="4096" width="12.6640625" style="36" customWidth="1"/>
    <col min="4097" max="4097" width="9.6640625" style="36" customWidth="1"/>
    <col min="4098" max="4098" width="13.6640625" style="36" customWidth="1"/>
    <col min="4099" max="4099" width="9.6640625" style="36" customWidth="1"/>
    <col min="4100" max="4100" width="13.6640625" style="36" customWidth="1"/>
    <col min="4101" max="4101" width="9.6640625" style="36" customWidth="1"/>
    <col min="4102" max="4102" width="13.6640625" style="36" customWidth="1"/>
    <col min="4103" max="4103" width="9.6640625" style="36" customWidth="1"/>
    <col min="4104" max="4104" width="13.6640625" style="36" customWidth="1"/>
    <col min="4105" max="4343" width="14.5546875" style="36"/>
    <col min="4344" max="4344" width="7.33203125" style="36" customWidth="1"/>
    <col min="4345" max="4345" width="14.5546875" style="36" customWidth="1"/>
    <col min="4346" max="4347" width="11.6640625" style="36" customWidth="1"/>
    <col min="4348" max="4348" width="3.88671875" style="36" customWidth="1"/>
    <col min="4349" max="4349" width="5.33203125" style="36" customWidth="1"/>
    <col min="4350" max="4350" width="5.6640625" style="36" customWidth="1"/>
    <col min="4351" max="4351" width="3" style="36" customWidth="1"/>
    <col min="4352" max="4352" width="12.6640625" style="36" customWidth="1"/>
    <col min="4353" max="4353" width="9.6640625" style="36" customWidth="1"/>
    <col min="4354" max="4354" width="13.6640625" style="36" customWidth="1"/>
    <col min="4355" max="4355" width="9.6640625" style="36" customWidth="1"/>
    <col min="4356" max="4356" width="13.6640625" style="36" customWidth="1"/>
    <col min="4357" max="4357" width="9.6640625" style="36" customWidth="1"/>
    <col min="4358" max="4358" width="13.6640625" style="36" customWidth="1"/>
    <col min="4359" max="4359" width="9.6640625" style="36" customWidth="1"/>
    <col min="4360" max="4360" width="13.6640625" style="36" customWidth="1"/>
    <col min="4361" max="4599" width="14.5546875" style="36"/>
    <col min="4600" max="4600" width="7.33203125" style="36" customWidth="1"/>
    <col min="4601" max="4601" width="14.5546875" style="36" customWidth="1"/>
    <col min="4602" max="4603" width="11.6640625" style="36" customWidth="1"/>
    <col min="4604" max="4604" width="3.88671875" style="36" customWidth="1"/>
    <col min="4605" max="4605" width="5.33203125" style="36" customWidth="1"/>
    <col min="4606" max="4606" width="5.6640625" style="36" customWidth="1"/>
    <col min="4607" max="4607" width="3" style="36" customWidth="1"/>
    <col min="4608" max="4608" width="12.6640625" style="36" customWidth="1"/>
    <col min="4609" max="4609" width="9.6640625" style="36" customWidth="1"/>
    <col min="4610" max="4610" width="13.6640625" style="36" customWidth="1"/>
    <col min="4611" max="4611" width="9.6640625" style="36" customWidth="1"/>
    <col min="4612" max="4612" width="13.6640625" style="36" customWidth="1"/>
    <col min="4613" max="4613" width="9.6640625" style="36" customWidth="1"/>
    <col min="4614" max="4614" width="13.6640625" style="36" customWidth="1"/>
    <col min="4615" max="4615" width="9.6640625" style="36" customWidth="1"/>
    <col min="4616" max="4616" width="13.6640625" style="36" customWidth="1"/>
    <col min="4617" max="4855" width="14.5546875" style="36"/>
    <col min="4856" max="4856" width="7.33203125" style="36" customWidth="1"/>
    <col min="4857" max="4857" width="14.5546875" style="36" customWidth="1"/>
    <col min="4858" max="4859" width="11.6640625" style="36" customWidth="1"/>
    <col min="4860" max="4860" width="3.88671875" style="36" customWidth="1"/>
    <col min="4861" max="4861" width="5.33203125" style="36" customWidth="1"/>
    <col min="4862" max="4862" width="5.6640625" style="36" customWidth="1"/>
    <col min="4863" max="4863" width="3" style="36" customWidth="1"/>
    <col min="4864" max="4864" width="12.6640625" style="36" customWidth="1"/>
    <col min="4865" max="4865" width="9.6640625" style="36" customWidth="1"/>
    <col min="4866" max="4866" width="13.6640625" style="36" customWidth="1"/>
    <col min="4867" max="4867" width="9.6640625" style="36" customWidth="1"/>
    <col min="4868" max="4868" width="13.6640625" style="36" customWidth="1"/>
    <col min="4869" max="4869" width="9.6640625" style="36" customWidth="1"/>
    <col min="4870" max="4870" width="13.6640625" style="36" customWidth="1"/>
    <col min="4871" max="4871" width="9.6640625" style="36" customWidth="1"/>
    <col min="4872" max="4872" width="13.6640625" style="36" customWidth="1"/>
    <col min="4873" max="5111" width="14.5546875" style="36"/>
    <col min="5112" max="5112" width="7.33203125" style="36" customWidth="1"/>
    <col min="5113" max="5113" width="14.5546875" style="36" customWidth="1"/>
    <col min="5114" max="5115" width="11.6640625" style="36" customWidth="1"/>
    <col min="5116" max="5116" width="3.88671875" style="36" customWidth="1"/>
    <col min="5117" max="5117" width="5.33203125" style="36" customWidth="1"/>
    <col min="5118" max="5118" width="5.6640625" style="36" customWidth="1"/>
    <col min="5119" max="5119" width="3" style="36" customWidth="1"/>
    <col min="5120" max="5120" width="12.6640625" style="36" customWidth="1"/>
    <col min="5121" max="5121" width="9.6640625" style="36" customWidth="1"/>
    <col min="5122" max="5122" width="13.6640625" style="36" customWidth="1"/>
    <col min="5123" max="5123" width="9.6640625" style="36" customWidth="1"/>
    <col min="5124" max="5124" width="13.6640625" style="36" customWidth="1"/>
    <col min="5125" max="5125" width="9.6640625" style="36" customWidth="1"/>
    <col min="5126" max="5126" width="13.6640625" style="36" customWidth="1"/>
    <col min="5127" max="5127" width="9.6640625" style="36" customWidth="1"/>
    <col min="5128" max="5128" width="13.6640625" style="36" customWidth="1"/>
    <col min="5129" max="5367" width="14.5546875" style="36"/>
    <col min="5368" max="5368" width="7.33203125" style="36" customWidth="1"/>
    <col min="5369" max="5369" width="14.5546875" style="36" customWidth="1"/>
    <col min="5370" max="5371" width="11.6640625" style="36" customWidth="1"/>
    <col min="5372" max="5372" width="3.88671875" style="36" customWidth="1"/>
    <col min="5373" max="5373" width="5.33203125" style="36" customWidth="1"/>
    <col min="5374" max="5374" width="5.6640625" style="36" customWidth="1"/>
    <col min="5375" max="5375" width="3" style="36" customWidth="1"/>
    <col min="5376" max="5376" width="12.6640625" style="36" customWidth="1"/>
    <col min="5377" max="5377" width="9.6640625" style="36" customWidth="1"/>
    <col min="5378" max="5378" width="13.6640625" style="36" customWidth="1"/>
    <col min="5379" max="5379" width="9.6640625" style="36" customWidth="1"/>
    <col min="5380" max="5380" width="13.6640625" style="36" customWidth="1"/>
    <col min="5381" max="5381" width="9.6640625" style="36" customWidth="1"/>
    <col min="5382" max="5382" width="13.6640625" style="36" customWidth="1"/>
    <col min="5383" max="5383" width="9.6640625" style="36" customWidth="1"/>
    <col min="5384" max="5384" width="13.6640625" style="36" customWidth="1"/>
    <col min="5385" max="5623" width="14.5546875" style="36"/>
    <col min="5624" max="5624" width="7.33203125" style="36" customWidth="1"/>
    <col min="5625" max="5625" width="14.5546875" style="36" customWidth="1"/>
    <col min="5626" max="5627" width="11.6640625" style="36" customWidth="1"/>
    <col min="5628" max="5628" width="3.88671875" style="36" customWidth="1"/>
    <col min="5629" max="5629" width="5.33203125" style="36" customWidth="1"/>
    <col min="5630" max="5630" width="5.6640625" style="36" customWidth="1"/>
    <col min="5631" max="5631" width="3" style="36" customWidth="1"/>
    <col min="5632" max="5632" width="12.6640625" style="36" customWidth="1"/>
    <col min="5633" max="5633" width="9.6640625" style="36" customWidth="1"/>
    <col min="5634" max="5634" width="13.6640625" style="36" customWidth="1"/>
    <col min="5635" max="5635" width="9.6640625" style="36" customWidth="1"/>
    <col min="5636" max="5636" width="13.6640625" style="36" customWidth="1"/>
    <col min="5637" max="5637" width="9.6640625" style="36" customWidth="1"/>
    <col min="5638" max="5638" width="13.6640625" style="36" customWidth="1"/>
    <col min="5639" max="5639" width="9.6640625" style="36" customWidth="1"/>
    <col min="5640" max="5640" width="13.6640625" style="36" customWidth="1"/>
    <col min="5641" max="5879" width="14.5546875" style="36"/>
    <col min="5880" max="5880" width="7.33203125" style="36" customWidth="1"/>
    <col min="5881" max="5881" width="14.5546875" style="36" customWidth="1"/>
    <col min="5882" max="5883" width="11.6640625" style="36" customWidth="1"/>
    <col min="5884" max="5884" width="3.88671875" style="36" customWidth="1"/>
    <col min="5885" max="5885" width="5.33203125" style="36" customWidth="1"/>
    <col min="5886" max="5886" width="5.6640625" style="36" customWidth="1"/>
    <col min="5887" max="5887" width="3" style="36" customWidth="1"/>
    <col min="5888" max="5888" width="12.6640625" style="36" customWidth="1"/>
    <col min="5889" max="5889" width="9.6640625" style="36" customWidth="1"/>
    <col min="5890" max="5890" width="13.6640625" style="36" customWidth="1"/>
    <col min="5891" max="5891" width="9.6640625" style="36" customWidth="1"/>
    <col min="5892" max="5892" width="13.6640625" style="36" customWidth="1"/>
    <col min="5893" max="5893" width="9.6640625" style="36" customWidth="1"/>
    <col min="5894" max="5894" width="13.6640625" style="36" customWidth="1"/>
    <col min="5895" max="5895" width="9.6640625" style="36" customWidth="1"/>
    <col min="5896" max="5896" width="13.6640625" style="36" customWidth="1"/>
    <col min="5897" max="6135" width="14.5546875" style="36"/>
    <col min="6136" max="6136" width="7.33203125" style="36" customWidth="1"/>
    <col min="6137" max="6137" width="14.5546875" style="36" customWidth="1"/>
    <col min="6138" max="6139" width="11.6640625" style="36" customWidth="1"/>
    <col min="6140" max="6140" width="3.88671875" style="36" customWidth="1"/>
    <col min="6141" max="6141" width="5.33203125" style="36" customWidth="1"/>
    <col min="6142" max="6142" width="5.6640625" style="36" customWidth="1"/>
    <col min="6143" max="6143" width="3" style="36" customWidth="1"/>
    <col min="6144" max="6144" width="12.6640625" style="36" customWidth="1"/>
    <col min="6145" max="6145" width="9.6640625" style="36" customWidth="1"/>
    <col min="6146" max="6146" width="13.6640625" style="36" customWidth="1"/>
    <col min="6147" max="6147" width="9.6640625" style="36" customWidth="1"/>
    <col min="6148" max="6148" width="13.6640625" style="36" customWidth="1"/>
    <col min="6149" max="6149" width="9.6640625" style="36" customWidth="1"/>
    <col min="6150" max="6150" width="13.6640625" style="36" customWidth="1"/>
    <col min="6151" max="6151" width="9.6640625" style="36" customWidth="1"/>
    <col min="6152" max="6152" width="13.6640625" style="36" customWidth="1"/>
    <col min="6153" max="6391" width="14.5546875" style="36"/>
    <col min="6392" max="6392" width="7.33203125" style="36" customWidth="1"/>
    <col min="6393" max="6393" width="14.5546875" style="36" customWidth="1"/>
    <col min="6394" max="6395" width="11.6640625" style="36" customWidth="1"/>
    <col min="6396" max="6396" width="3.88671875" style="36" customWidth="1"/>
    <col min="6397" max="6397" width="5.33203125" style="36" customWidth="1"/>
    <col min="6398" max="6398" width="5.6640625" style="36" customWidth="1"/>
    <col min="6399" max="6399" width="3" style="36" customWidth="1"/>
    <col min="6400" max="6400" width="12.6640625" style="36" customWidth="1"/>
    <col min="6401" max="6401" width="9.6640625" style="36" customWidth="1"/>
    <col min="6402" max="6402" width="13.6640625" style="36" customWidth="1"/>
    <col min="6403" max="6403" width="9.6640625" style="36" customWidth="1"/>
    <col min="6404" max="6404" width="13.6640625" style="36" customWidth="1"/>
    <col min="6405" max="6405" width="9.6640625" style="36" customWidth="1"/>
    <col min="6406" max="6406" width="13.6640625" style="36" customWidth="1"/>
    <col min="6407" max="6407" width="9.6640625" style="36" customWidth="1"/>
    <col min="6408" max="6408" width="13.6640625" style="36" customWidth="1"/>
    <col min="6409" max="6647" width="14.5546875" style="36"/>
    <col min="6648" max="6648" width="7.33203125" style="36" customWidth="1"/>
    <col min="6649" max="6649" width="14.5546875" style="36" customWidth="1"/>
    <col min="6650" max="6651" width="11.6640625" style="36" customWidth="1"/>
    <col min="6652" max="6652" width="3.88671875" style="36" customWidth="1"/>
    <col min="6653" max="6653" width="5.33203125" style="36" customWidth="1"/>
    <col min="6654" max="6654" width="5.6640625" style="36" customWidth="1"/>
    <col min="6655" max="6655" width="3" style="36" customWidth="1"/>
    <col min="6656" max="6656" width="12.6640625" style="36" customWidth="1"/>
    <col min="6657" max="6657" width="9.6640625" style="36" customWidth="1"/>
    <col min="6658" max="6658" width="13.6640625" style="36" customWidth="1"/>
    <col min="6659" max="6659" width="9.6640625" style="36" customWidth="1"/>
    <col min="6660" max="6660" width="13.6640625" style="36" customWidth="1"/>
    <col min="6661" max="6661" width="9.6640625" style="36" customWidth="1"/>
    <col min="6662" max="6662" width="13.6640625" style="36" customWidth="1"/>
    <col min="6663" max="6663" width="9.6640625" style="36" customWidth="1"/>
    <col min="6664" max="6664" width="13.6640625" style="36" customWidth="1"/>
    <col min="6665" max="6903" width="14.5546875" style="36"/>
    <col min="6904" max="6904" width="7.33203125" style="36" customWidth="1"/>
    <col min="6905" max="6905" width="14.5546875" style="36" customWidth="1"/>
    <col min="6906" max="6907" width="11.6640625" style="36" customWidth="1"/>
    <col min="6908" max="6908" width="3.88671875" style="36" customWidth="1"/>
    <col min="6909" max="6909" width="5.33203125" style="36" customWidth="1"/>
    <col min="6910" max="6910" width="5.6640625" style="36" customWidth="1"/>
    <col min="6911" max="6911" width="3" style="36" customWidth="1"/>
    <col min="6912" max="6912" width="12.6640625" style="36" customWidth="1"/>
    <col min="6913" max="6913" width="9.6640625" style="36" customWidth="1"/>
    <col min="6914" max="6914" width="13.6640625" style="36" customWidth="1"/>
    <col min="6915" max="6915" width="9.6640625" style="36" customWidth="1"/>
    <col min="6916" max="6916" width="13.6640625" style="36" customWidth="1"/>
    <col min="6917" max="6917" width="9.6640625" style="36" customWidth="1"/>
    <col min="6918" max="6918" width="13.6640625" style="36" customWidth="1"/>
    <col min="6919" max="6919" width="9.6640625" style="36" customWidth="1"/>
    <col min="6920" max="6920" width="13.6640625" style="36" customWidth="1"/>
    <col min="6921" max="7159" width="14.5546875" style="36"/>
    <col min="7160" max="7160" width="7.33203125" style="36" customWidth="1"/>
    <col min="7161" max="7161" width="14.5546875" style="36" customWidth="1"/>
    <col min="7162" max="7163" width="11.6640625" style="36" customWidth="1"/>
    <col min="7164" max="7164" width="3.88671875" style="36" customWidth="1"/>
    <col min="7165" max="7165" width="5.33203125" style="36" customWidth="1"/>
    <col min="7166" max="7166" width="5.6640625" style="36" customWidth="1"/>
    <col min="7167" max="7167" width="3" style="36" customWidth="1"/>
    <col min="7168" max="7168" width="12.6640625" style="36" customWidth="1"/>
    <col min="7169" max="7169" width="9.6640625" style="36" customWidth="1"/>
    <col min="7170" max="7170" width="13.6640625" style="36" customWidth="1"/>
    <col min="7171" max="7171" width="9.6640625" style="36" customWidth="1"/>
    <col min="7172" max="7172" width="13.6640625" style="36" customWidth="1"/>
    <col min="7173" max="7173" width="9.6640625" style="36" customWidth="1"/>
    <col min="7174" max="7174" width="13.6640625" style="36" customWidth="1"/>
    <col min="7175" max="7175" width="9.6640625" style="36" customWidth="1"/>
    <col min="7176" max="7176" width="13.6640625" style="36" customWidth="1"/>
    <col min="7177" max="7415" width="14.5546875" style="36"/>
    <col min="7416" max="7416" width="7.33203125" style="36" customWidth="1"/>
    <col min="7417" max="7417" width="14.5546875" style="36" customWidth="1"/>
    <col min="7418" max="7419" width="11.6640625" style="36" customWidth="1"/>
    <col min="7420" max="7420" width="3.88671875" style="36" customWidth="1"/>
    <col min="7421" max="7421" width="5.33203125" style="36" customWidth="1"/>
    <col min="7422" max="7422" width="5.6640625" style="36" customWidth="1"/>
    <col min="7423" max="7423" width="3" style="36" customWidth="1"/>
    <col min="7424" max="7424" width="12.6640625" style="36" customWidth="1"/>
    <col min="7425" max="7425" width="9.6640625" style="36" customWidth="1"/>
    <col min="7426" max="7426" width="13.6640625" style="36" customWidth="1"/>
    <col min="7427" max="7427" width="9.6640625" style="36" customWidth="1"/>
    <col min="7428" max="7428" width="13.6640625" style="36" customWidth="1"/>
    <col min="7429" max="7429" width="9.6640625" style="36" customWidth="1"/>
    <col min="7430" max="7430" width="13.6640625" style="36" customWidth="1"/>
    <col min="7431" max="7431" width="9.6640625" style="36" customWidth="1"/>
    <col min="7432" max="7432" width="13.6640625" style="36" customWidth="1"/>
    <col min="7433" max="7671" width="14.5546875" style="36"/>
    <col min="7672" max="7672" width="7.33203125" style="36" customWidth="1"/>
    <col min="7673" max="7673" width="14.5546875" style="36" customWidth="1"/>
    <col min="7674" max="7675" width="11.6640625" style="36" customWidth="1"/>
    <col min="7676" max="7676" width="3.88671875" style="36" customWidth="1"/>
    <col min="7677" max="7677" width="5.33203125" style="36" customWidth="1"/>
    <col min="7678" max="7678" width="5.6640625" style="36" customWidth="1"/>
    <col min="7679" max="7679" width="3" style="36" customWidth="1"/>
    <col min="7680" max="7680" width="12.6640625" style="36" customWidth="1"/>
    <col min="7681" max="7681" width="9.6640625" style="36" customWidth="1"/>
    <col min="7682" max="7682" width="13.6640625" style="36" customWidth="1"/>
    <col min="7683" max="7683" width="9.6640625" style="36" customWidth="1"/>
    <col min="7684" max="7684" width="13.6640625" style="36" customWidth="1"/>
    <col min="7685" max="7685" width="9.6640625" style="36" customWidth="1"/>
    <col min="7686" max="7686" width="13.6640625" style="36" customWidth="1"/>
    <col min="7687" max="7687" width="9.6640625" style="36" customWidth="1"/>
    <col min="7688" max="7688" width="13.6640625" style="36" customWidth="1"/>
    <col min="7689" max="7927" width="14.5546875" style="36"/>
    <col min="7928" max="7928" width="7.33203125" style="36" customWidth="1"/>
    <col min="7929" max="7929" width="14.5546875" style="36" customWidth="1"/>
    <col min="7930" max="7931" width="11.6640625" style="36" customWidth="1"/>
    <col min="7932" max="7932" width="3.88671875" style="36" customWidth="1"/>
    <col min="7933" max="7933" width="5.33203125" style="36" customWidth="1"/>
    <col min="7934" max="7934" width="5.6640625" style="36" customWidth="1"/>
    <col min="7935" max="7935" width="3" style="36" customWidth="1"/>
    <col min="7936" max="7936" width="12.6640625" style="36" customWidth="1"/>
    <col min="7937" max="7937" width="9.6640625" style="36" customWidth="1"/>
    <col min="7938" max="7938" width="13.6640625" style="36" customWidth="1"/>
    <col min="7939" max="7939" width="9.6640625" style="36" customWidth="1"/>
    <col min="7940" max="7940" width="13.6640625" style="36" customWidth="1"/>
    <col min="7941" max="7941" width="9.6640625" style="36" customWidth="1"/>
    <col min="7942" max="7942" width="13.6640625" style="36" customWidth="1"/>
    <col min="7943" max="7943" width="9.6640625" style="36" customWidth="1"/>
    <col min="7944" max="7944" width="13.6640625" style="36" customWidth="1"/>
    <col min="7945" max="8183" width="14.5546875" style="36"/>
    <col min="8184" max="8184" width="7.33203125" style="36" customWidth="1"/>
    <col min="8185" max="8185" width="14.5546875" style="36" customWidth="1"/>
    <col min="8186" max="8187" width="11.6640625" style="36" customWidth="1"/>
    <col min="8188" max="8188" width="3.88671875" style="36" customWidth="1"/>
    <col min="8189" max="8189" width="5.33203125" style="36" customWidth="1"/>
    <col min="8190" max="8190" width="5.6640625" style="36" customWidth="1"/>
    <col min="8191" max="8191" width="3" style="36" customWidth="1"/>
    <col min="8192" max="8192" width="12.6640625" style="36" customWidth="1"/>
    <col min="8193" max="8193" width="9.6640625" style="36" customWidth="1"/>
    <col min="8194" max="8194" width="13.6640625" style="36" customWidth="1"/>
    <col min="8195" max="8195" width="9.6640625" style="36" customWidth="1"/>
    <col min="8196" max="8196" width="13.6640625" style="36" customWidth="1"/>
    <col min="8197" max="8197" width="9.6640625" style="36" customWidth="1"/>
    <col min="8198" max="8198" width="13.6640625" style="36" customWidth="1"/>
    <col min="8199" max="8199" width="9.6640625" style="36" customWidth="1"/>
    <col min="8200" max="8200" width="13.6640625" style="36" customWidth="1"/>
    <col min="8201" max="8439" width="14.5546875" style="36"/>
    <col min="8440" max="8440" width="7.33203125" style="36" customWidth="1"/>
    <col min="8441" max="8441" width="14.5546875" style="36" customWidth="1"/>
    <col min="8442" max="8443" width="11.6640625" style="36" customWidth="1"/>
    <col min="8444" max="8444" width="3.88671875" style="36" customWidth="1"/>
    <col min="8445" max="8445" width="5.33203125" style="36" customWidth="1"/>
    <col min="8446" max="8446" width="5.6640625" style="36" customWidth="1"/>
    <col min="8447" max="8447" width="3" style="36" customWidth="1"/>
    <col min="8448" max="8448" width="12.6640625" style="36" customWidth="1"/>
    <col min="8449" max="8449" width="9.6640625" style="36" customWidth="1"/>
    <col min="8450" max="8450" width="13.6640625" style="36" customWidth="1"/>
    <col min="8451" max="8451" width="9.6640625" style="36" customWidth="1"/>
    <col min="8452" max="8452" width="13.6640625" style="36" customWidth="1"/>
    <col min="8453" max="8453" width="9.6640625" style="36" customWidth="1"/>
    <col min="8454" max="8454" width="13.6640625" style="36" customWidth="1"/>
    <col min="8455" max="8455" width="9.6640625" style="36" customWidth="1"/>
    <col min="8456" max="8456" width="13.6640625" style="36" customWidth="1"/>
    <col min="8457" max="8695" width="14.5546875" style="36"/>
    <col min="8696" max="8696" width="7.33203125" style="36" customWidth="1"/>
    <col min="8697" max="8697" width="14.5546875" style="36" customWidth="1"/>
    <col min="8698" max="8699" width="11.6640625" style="36" customWidth="1"/>
    <col min="8700" max="8700" width="3.88671875" style="36" customWidth="1"/>
    <col min="8701" max="8701" width="5.33203125" style="36" customWidth="1"/>
    <col min="8702" max="8702" width="5.6640625" style="36" customWidth="1"/>
    <col min="8703" max="8703" width="3" style="36" customWidth="1"/>
    <col min="8704" max="8704" width="12.6640625" style="36" customWidth="1"/>
    <col min="8705" max="8705" width="9.6640625" style="36" customWidth="1"/>
    <col min="8706" max="8706" width="13.6640625" style="36" customWidth="1"/>
    <col min="8707" max="8707" width="9.6640625" style="36" customWidth="1"/>
    <col min="8708" max="8708" width="13.6640625" style="36" customWidth="1"/>
    <col min="8709" max="8709" width="9.6640625" style="36" customWidth="1"/>
    <col min="8710" max="8710" width="13.6640625" style="36" customWidth="1"/>
    <col min="8711" max="8711" width="9.6640625" style="36" customWidth="1"/>
    <col min="8712" max="8712" width="13.6640625" style="36" customWidth="1"/>
    <col min="8713" max="8951" width="14.5546875" style="36"/>
    <col min="8952" max="8952" width="7.33203125" style="36" customWidth="1"/>
    <col min="8953" max="8953" width="14.5546875" style="36" customWidth="1"/>
    <col min="8954" max="8955" width="11.6640625" style="36" customWidth="1"/>
    <col min="8956" max="8956" width="3.88671875" style="36" customWidth="1"/>
    <col min="8957" max="8957" width="5.33203125" style="36" customWidth="1"/>
    <col min="8958" max="8958" width="5.6640625" style="36" customWidth="1"/>
    <col min="8959" max="8959" width="3" style="36" customWidth="1"/>
    <col min="8960" max="8960" width="12.6640625" style="36" customWidth="1"/>
    <col min="8961" max="8961" width="9.6640625" style="36" customWidth="1"/>
    <col min="8962" max="8962" width="13.6640625" style="36" customWidth="1"/>
    <col min="8963" max="8963" width="9.6640625" style="36" customWidth="1"/>
    <col min="8964" max="8964" width="13.6640625" style="36" customWidth="1"/>
    <col min="8965" max="8965" width="9.6640625" style="36" customWidth="1"/>
    <col min="8966" max="8966" width="13.6640625" style="36" customWidth="1"/>
    <col min="8967" max="8967" width="9.6640625" style="36" customWidth="1"/>
    <col min="8968" max="8968" width="13.6640625" style="36" customWidth="1"/>
    <col min="8969" max="9207" width="14.5546875" style="36"/>
    <col min="9208" max="9208" width="7.33203125" style="36" customWidth="1"/>
    <col min="9209" max="9209" width="14.5546875" style="36" customWidth="1"/>
    <col min="9210" max="9211" width="11.6640625" style="36" customWidth="1"/>
    <col min="9212" max="9212" width="3.88671875" style="36" customWidth="1"/>
    <col min="9213" max="9213" width="5.33203125" style="36" customWidth="1"/>
    <col min="9214" max="9214" width="5.6640625" style="36" customWidth="1"/>
    <col min="9215" max="9215" width="3" style="36" customWidth="1"/>
    <col min="9216" max="9216" width="12.6640625" style="36" customWidth="1"/>
    <col min="9217" max="9217" width="9.6640625" style="36" customWidth="1"/>
    <col min="9218" max="9218" width="13.6640625" style="36" customWidth="1"/>
    <col min="9219" max="9219" width="9.6640625" style="36" customWidth="1"/>
    <col min="9220" max="9220" width="13.6640625" style="36" customWidth="1"/>
    <col min="9221" max="9221" width="9.6640625" style="36" customWidth="1"/>
    <col min="9222" max="9222" width="13.6640625" style="36" customWidth="1"/>
    <col min="9223" max="9223" width="9.6640625" style="36" customWidth="1"/>
    <col min="9224" max="9224" width="13.6640625" style="36" customWidth="1"/>
    <col min="9225" max="9463" width="14.5546875" style="36"/>
    <col min="9464" max="9464" width="7.33203125" style="36" customWidth="1"/>
    <col min="9465" max="9465" width="14.5546875" style="36" customWidth="1"/>
    <col min="9466" max="9467" width="11.6640625" style="36" customWidth="1"/>
    <col min="9468" max="9468" width="3.88671875" style="36" customWidth="1"/>
    <col min="9469" max="9469" width="5.33203125" style="36" customWidth="1"/>
    <col min="9470" max="9470" width="5.6640625" style="36" customWidth="1"/>
    <col min="9471" max="9471" width="3" style="36" customWidth="1"/>
    <col min="9472" max="9472" width="12.6640625" style="36" customWidth="1"/>
    <col min="9473" max="9473" width="9.6640625" style="36" customWidth="1"/>
    <col min="9474" max="9474" width="13.6640625" style="36" customWidth="1"/>
    <col min="9475" max="9475" width="9.6640625" style="36" customWidth="1"/>
    <col min="9476" max="9476" width="13.6640625" style="36" customWidth="1"/>
    <col min="9477" max="9477" width="9.6640625" style="36" customWidth="1"/>
    <col min="9478" max="9478" width="13.6640625" style="36" customWidth="1"/>
    <col min="9479" max="9479" width="9.6640625" style="36" customWidth="1"/>
    <col min="9480" max="9480" width="13.6640625" style="36" customWidth="1"/>
    <col min="9481" max="9719" width="14.5546875" style="36"/>
    <col min="9720" max="9720" width="7.33203125" style="36" customWidth="1"/>
    <col min="9721" max="9721" width="14.5546875" style="36" customWidth="1"/>
    <col min="9722" max="9723" width="11.6640625" style="36" customWidth="1"/>
    <col min="9724" max="9724" width="3.88671875" style="36" customWidth="1"/>
    <col min="9725" max="9725" width="5.33203125" style="36" customWidth="1"/>
    <col min="9726" max="9726" width="5.6640625" style="36" customWidth="1"/>
    <col min="9727" max="9727" width="3" style="36" customWidth="1"/>
    <col min="9728" max="9728" width="12.6640625" style="36" customWidth="1"/>
    <col min="9729" max="9729" width="9.6640625" style="36" customWidth="1"/>
    <col min="9730" max="9730" width="13.6640625" style="36" customWidth="1"/>
    <col min="9731" max="9731" width="9.6640625" style="36" customWidth="1"/>
    <col min="9732" max="9732" width="13.6640625" style="36" customWidth="1"/>
    <col min="9733" max="9733" width="9.6640625" style="36" customWidth="1"/>
    <col min="9734" max="9734" width="13.6640625" style="36" customWidth="1"/>
    <col min="9735" max="9735" width="9.6640625" style="36" customWidth="1"/>
    <col min="9736" max="9736" width="13.6640625" style="36" customWidth="1"/>
    <col min="9737" max="9975" width="14.5546875" style="36"/>
    <col min="9976" max="9976" width="7.33203125" style="36" customWidth="1"/>
    <col min="9977" max="9977" width="14.5546875" style="36" customWidth="1"/>
    <col min="9978" max="9979" width="11.6640625" style="36" customWidth="1"/>
    <col min="9980" max="9980" width="3.88671875" style="36" customWidth="1"/>
    <col min="9981" max="9981" width="5.33203125" style="36" customWidth="1"/>
    <col min="9982" max="9982" width="5.6640625" style="36" customWidth="1"/>
    <col min="9983" max="9983" width="3" style="36" customWidth="1"/>
    <col min="9984" max="9984" width="12.6640625" style="36" customWidth="1"/>
    <col min="9985" max="9985" width="9.6640625" style="36" customWidth="1"/>
    <col min="9986" max="9986" width="13.6640625" style="36" customWidth="1"/>
    <col min="9987" max="9987" width="9.6640625" style="36" customWidth="1"/>
    <col min="9988" max="9988" width="13.6640625" style="36" customWidth="1"/>
    <col min="9989" max="9989" width="9.6640625" style="36" customWidth="1"/>
    <col min="9990" max="9990" width="13.6640625" style="36" customWidth="1"/>
    <col min="9991" max="9991" width="9.6640625" style="36" customWidth="1"/>
    <col min="9992" max="9992" width="13.6640625" style="36" customWidth="1"/>
    <col min="9993" max="10231" width="14.5546875" style="36"/>
    <col min="10232" max="10232" width="7.33203125" style="36" customWidth="1"/>
    <col min="10233" max="10233" width="14.5546875" style="36" customWidth="1"/>
    <col min="10234" max="10235" width="11.6640625" style="36" customWidth="1"/>
    <col min="10236" max="10236" width="3.88671875" style="36" customWidth="1"/>
    <col min="10237" max="10237" width="5.33203125" style="36" customWidth="1"/>
    <col min="10238" max="10238" width="5.6640625" style="36" customWidth="1"/>
    <col min="10239" max="10239" width="3" style="36" customWidth="1"/>
    <col min="10240" max="10240" width="12.6640625" style="36" customWidth="1"/>
    <col min="10241" max="10241" width="9.6640625" style="36" customWidth="1"/>
    <col min="10242" max="10242" width="13.6640625" style="36" customWidth="1"/>
    <col min="10243" max="10243" width="9.6640625" style="36" customWidth="1"/>
    <col min="10244" max="10244" width="13.6640625" style="36" customWidth="1"/>
    <col min="10245" max="10245" width="9.6640625" style="36" customWidth="1"/>
    <col min="10246" max="10246" width="13.6640625" style="36" customWidth="1"/>
    <col min="10247" max="10247" width="9.6640625" style="36" customWidth="1"/>
    <col min="10248" max="10248" width="13.6640625" style="36" customWidth="1"/>
    <col min="10249" max="10487" width="14.5546875" style="36"/>
    <col min="10488" max="10488" width="7.33203125" style="36" customWidth="1"/>
    <col min="10489" max="10489" width="14.5546875" style="36" customWidth="1"/>
    <col min="10490" max="10491" width="11.6640625" style="36" customWidth="1"/>
    <col min="10492" max="10492" width="3.88671875" style="36" customWidth="1"/>
    <col min="10493" max="10493" width="5.33203125" style="36" customWidth="1"/>
    <col min="10494" max="10494" width="5.6640625" style="36" customWidth="1"/>
    <col min="10495" max="10495" width="3" style="36" customWidth="1"/>
    <col min="10496" max="10496" width="12.6640625" style="36" customWidth="1"/>
    <col min="10497" max="10497" width="9.6640625" style="36" customWidth="1"/>
    <col min="10498" max="10498" width="13.6640625" style="36" customWidth="1"/>
    <col min="10499" max="10499" width="9.6640625" style="36" customWidth="1"/>
    <col min="10500" max="10500" width="13.6640625" style="36" customWidth="1"/>
    <col min="10501" max="10501" width="9.6640625" style="36" customWidth="1"/>
    <col min="10502" max="10502" width="13.6640625" style="36" customWidth="1"/>
    <col min="10503" max="10503" width="9.6640625" style="36" customWidth="1"/>
    <col min="10504" max="10504" width="13.6640625" style="36" customWidth="1"/>
    <col min="10505" max="10743" width="14.5546875" style="36"/>
    <col min="10744" max="10744" width="7.33203125" style="36" customWidth="1"/>
    <col min="10745" max="10745" width="14.5546875" style="36" customWidth="1"/>
    <col min="10746" max="10747" width="11.6640625" style="36" customWidth="1"/>
    <col min="10748" max="10748" width="3.88671875" style="36" customWidth="1"/>
    <col min="10749" max="10749" width="5.33203125" style="36" customWidth="1"/>
    <col min="10750" max="10750" width="5.6640625" style="36" customWidth="1"/>
    <col min="10751" max="10751" width="3" style="36" customWidth="1"/>
    <col min="10752" max="10752" width="12.6640625" style="36" customWidth="1"/>
    <col min="10753" max="10753" width="9.6640625" style="36" customWidth="1"/>
    <col min="10754" max="10754" width="13.6640625" style="36" customWidth="1"/>
    <col min="10755" max="10755" width="9.6640625" style="36" customWidth="1"/>
    <col min="10756" max="10756" width="13.6640625" style="36" customWidth="1"/>
    <col min="10757" max="10757" width="9.6640625" style="36" customWidth="1"/>
    <col min="10758" max="10758" width="13.6640625" style="36" customWidth="1"/>
    <col min="10759" max="10759" width="9.6640625" style="36" customWidth="1"/>
    <col min="10760" max="10760" width="13.6640625" style="36" customWidth="1"/>
    <col min="10761" max="10999" width="14.5546875" style="36"/>
    <col min="11000" max="11000" width="7.33203125" style="36" customWidth="1"/>
    <col min="11001" max="11001" width="14.5546875" style="36" customWidth="1"/>
    <col min="11002" max="11003" width="11.6640625" style="36" customWidth="1"/>
    <col min="11004" max="11004" width="3.88671875" style="36" customWidth="1"/>
    <col min="11005" max="11005" width="5.33203125" style="36" customWidth="1"/>
    <col min="11006" max="11006" width="5.6640625" style="36" customWidth="1"/>
    <col min="11007" max="11007" width="3" style="36" customWidth="1"/>
    <col min="11008" max="11008" width="12.6640625" style="36" customWidth="1"/>
    <col min="11009" max="11009" width="9.6640625" style="36" customWidth="1"/>
    <col min="11010" max="11010" width="13.6640625" style="36" customWidth="1"/>
    <col min="11011" max="11011" width="9.6640625" style="36" customWidth="1"/>
    <col min="11012" max="11012" width="13.6640625" style="36" customWidth="1"/>
    <col min="11013" max="11013" width="9.6640625" style="36" customWidth="1"/>
    <col min="11014" max="11014" width="13.6640625" style="36" customWidth="1"/>
    <col min="11015" max="11015" width="9.6640625" style="36" customWidth="1"/>
    <col min="11016" max="11016" width="13.6640625" style="36" customWidth="1"/>
    <col min="11017" max="11255" width="14.5546875" style="36"/>
    <col min="11256" max="11256" width="7.33203125" style="36" customWidth="1"/>
    <col min="11257" max="11257" width="14.5546875" style="36" customWidth="1"/>
    <col min="11258" max="11259" width="11.6640625" style="36" customWidth="1"/>
    <col min="11260" max="11260" width="3.88671875" style="36" customWidth="1"/>
    <col min="11261" max="11261" width="5.33203125" style="36" customWidth="1"/>
    <col min="11262" max="11262" width="5.6640625" style="36" customWidth="1"/>
    <col min="11263" max="11263" width="3" style="36" customWidth="1"/>
    <col min="11264" max="11264" width="12.6640625" style="36" customWidth="1"/>
    <col min="11265" max="11265" width="9.6640625" style="36" customWidth="1"/>
    <col min="11266" max="11266" width="13.6640625" style="36" customWidth="1"/>
    <col min="11267" max="11267" width="9.6640625" style="36" customWidth="1"/>
    <col min="11268" max="11268" width="13.6640625" style="36" customWidth="1"/>
    <col min="11269" max="11269" width="9.6640625" style="36" customWidth="1"/>
    <col min="11270" max="11270" width="13.6640625" style="36" customWidth="1"/>
    <col min="11271" max="11271" width="9.6640625" style="36" customWidth="1"/>
    <col min="11272" max="11272" width="13.6640625" style="36" customWidth="1"/>
    <col min="11273" max="11511" width="14.5546875" style="36"/>
    <col min="11512" max="11512" width="7.33203125" style="36" customWidth="1"/>
    <col min="11513" max="11513" width="14.5546875" style="36" customWidth="1"/>
    <col min="11514" max="11515" width="11.6640625" style="36" customWidth="1"/>
    <col min="11516" max="11516" width="3.88671875" style="36" customWidth="1"/>
    <col min="11517" max="11517" width="5.33203125" style="36" customWidth="1"/>
    <col min="11518" max="11518" width="5.6640625" style="36" customWidth="1"/>
    <col min="11519" max="11519" width="3" style="36" customWidth="1"/>
    <col min="11520" max="11520" width="12.6640625" style="36" customWidth="1"/>
    <col min="11521" max="11521" width="9.6640625" style="36" customWidth="1"/>
    <col min="11522" max="11522" width="13.6640625" style="36" customWidth="1"/>
    <col min="11523" max="11523" width="9.6640625" style="36" customWidth="1"/>
    <col min="11524" max="11524" width="13.6640625" style="36" customWidth="1"/>
    <col min="11525" max="11525" width="9.6640625" style="36" customWidth="1"/>
    <col min="11526" max="11526" width="13.6640625" style="36" customWidth="1"/>
    <col min="11527" max="11527" width="9.6640625" style="36" customWidth="1"/>
    <col min="11528" max="11528" width="13.6640625" style="36" customWidth="1"/>
    <col min="11529" max="11767" width="14.5546875" style="36"/>
    <col min="11768" max="11768" width="7.33203125" style="36" customWidth="1"/>
    <col min="11769" max="11769" width="14.5546875" style="36" customWidth="1"/>
    <col min="11770" max="11771" width="11.6640625" style="36" customWidth="1"/>
    <col min="11772" max="11772" width="3.88671875" style="36" customWidth="1"/>
    <col min="11773" max="11773" width="5.33203125" style="36" customWidth="1"/>
    <col min="11774" max="11774" width="5.6640625" style="36" customWidth="1"/>
    <col min="11775" max="11775" width="3" style="36" customWidth="1"/>
    <col min="11776" max="11776" width="12.6640625" style="36" customWidth="1"/>
    <col min="11777" max="11777" width="9.6640625" style="36" customWidth="1"/>
    <col min="11778" max="11778" width="13.6640625" style="36" customWidth="1"/>
    <col min="11779" max="11779" width="9.6640625" style="36" customWidth="1"/>
    <col min="11780" max="11780" width="13.6640625" style="36" customWidth="1"/>
    <col min="11781" max="11781" width="9.6640625" style="36" customWidth="1"/>
    <col min="11782" max="11782" width="13.6640625" style="36" customWidth="1"/>
    <col min="11783" max="11783" width="9.6640625" style="36" customWidth="1"/>
    <col min="11784" max="11784" width="13.6640625" style="36" customWidth="1"/>
    <col min="11785" max="12023" width="14.5546875" style="36"/>
    <col min="12024" max="12024" width="7.33203125" style="36" customWidth="1"/>
    <col min="12025" max="12025" width="14.5546875" style="36" customWidth="1"/>
    <col min="12026" max="12027" width="11.6640625" style="36" customWidth="1"/>
    <col min="12028" max="12028" width="3.88671875" style="36" customWidth="1"/>
    <col min="12029" max="12029" width="5.33203125" style="36" customWidth="1"/>
    <col min="12030" max="12030" width="5.6640625" style="36" customWidth="1"/>
    <col min="12031" max="12031" width="3" style="36" customWidth="1"/>
    <col min="12032" max="12032" width="12.6640625" style="36" customWidth="1"/>
    <col min="12033" max="12033" width="9.6640625" style="36" customWidth="1"/>
    <col min="12034" max="12034" width="13.6640625" style="36" customWidth="1"/>
    <col min="12035" max="12035" width="9.6640625" style="36" customWidth="1"/>
    <col min="12036" max="12036" width="13.6640625" style="36" customWidth="1"/>
    <col min="12037" max="12037" width="9.6640625" style="36" customWidth="1"/>
    <col min="12038" max="12038" width="13.6640625" style="36" customWidth="1"/>
    <col min="12039" max="12039" width="9.6640625" style="36" customWidth="1"/>
    <col min="12040" max="12040" width="13.6640625" style="36" customWidth="1"/>
    <col min="12041" max="12279" width="14.5546875" style="36"/>
    <col min="12280" max="12280" width="7.33203125" style="36" customWidth="1"/>
    <col min="12281" max="12281" width="14.5546875" style="36" customWidth="1"/>
    <col min="12282" max="12283" width="11.6640625" style="36" customWidth="1"/>
    <col min="12284" max="12284" width="3.88671875" style="36" customWidth="1"/>
    <col min="12285" max="12285" width="5.33203125" style="36" customWidth="1"/>
    <col min="12286" max="12286" width="5.6640625" style="36" customWidth="1"/>
    <col min="12287" max="12287" width="3" style="36" customWidth="1"/>
    <col min="12288" max="12288" width="12.6640625" style="36" customWidth="1"/>
    <col min="12289" max="12289" width="9.6640625" style="36" customWidth="1"/>
    <col min="12290" max="12290" width="13.6640625" style="36" customWidth="1"/>
    <col min="12291" max="12291" width="9.6640625" style="36" customWidth="1"/>
    <col min="12292" max="12292" width="13.6640625" style="36" customWidth="1"/>
    <col min="12293" max="12293" width="9.6640625" style="36" customWidth="1"/>
    <col min="12294" max="12294" width="13.6640625" style="36" customWidth="1"/>
    <col min="12295" max="12295" width="9.6640625" style="36" customWidth="1"/>
    <col min="12296" max="12296" width="13.6640625" style="36" customWidth="1"/>
    <col min="12297" max="12535" width="14.5546875" style="36"/>
    <col min="12536" max="12536" width="7.33203125" style="36" customWidth="1"/>
    <col min="12537" max="12537" width="14.5546875" style="36" customWidth="1"/>
    <col min="12538" max="12539" width="11.6640625" style="36" customWidth="1"/>
    <col min="12540" max="12540" width="3.88671875" style="36" customWidth="1"/>
    <col min="12541" max="12541" width="5.33203125" style="36" customWidth="1"/>
    <col min="12542" max="12542" width="5.6640625" style="36" customWidth="1"/>
    <col min="12543" max="12543" width="3" style="36" customWidth="1"/>
    <col min="12544" max="12544" width="12.6640625" style="36" customWidth="1"/>
    <col min="12545" max="12545" width="9.6640625" style="36" customWidth="1"/>
    <col min="12546" max="12546" width="13.6640625" style="36" customWidth="1"/>
    <col min="12547" max="12547" width="9.6640625" style="36" customWidth="1"/>
    <col min="12548" max="12548" width="13.6640625" style="36" customWidth="1"/>
    <col min="12549" max="12549" width="9.6640625" style="36" customWidth="1"/>
    <col min="12550" max="12550" width="13.6640625" style="36" customWidth="1"/>
    <col min="12551" max="12551" width="9.6640625" style="36" customWidth="1"/>
    <col min="12552" max="12552" width="13.6640625" style="36" customWidth="1"/>
    <col min="12553" max="12791" width="14.5546875" style="36"/>
    <col min="12792" max="12792" width="7.33203125" style="36" customWidth="1"/>
    <col min="12793" max="12793" width="14.5546875" style="36" customWidth="1"/>
    <col min="12794" max="12795" width="11.6640625" style="36" customWidth="1"/>
    <col min="12796" max="12796" width="3.88671875" style="36" customWidth="1"/>
    <col min="12797" max="12797" width="5.33203125" style="36" customWidth="1"/>
    <col min="12798" max="12798" width="5.6640625" style="36" customWidth="1"/>
    <col min="12799" max="12799" width="3" style="36" customWidth="1"/>
    <col min="12800" max="12800" width="12.6640625" style="36" customWidth="1"/>
    <col min="12801" max="12801" width="9.6640625" style="36" customWidth="1"/>
    <col min="12802" max="12802" width="13.6640625" style="36" customWidth="1"/>
    <col min="12803" max="12803" width="9.6640625" style="36" customWidth="1"/>
    <col min="12804" max="12804" width="13.6640625" style="36" customWidth="1"/>
    <col min="12805" max="12805" width="9.6640625" style="36" customWidth="1"/>
    <col min="12806" max="12806" width="13.6640625" style="36" customWidth="1"/>
    <col min="12807" max="12807" width="9.6640625" style="36" customWidth="1"/>
    <col min="12808" max="12808" width="13.6640625" style="36" customWidth="1"/>
    <col min="12809" max="13047" width="14.5546875" style="36"/>
    <col min="13048" max="13048" width="7.33203125" style="36" customWidth="1"/>
    <col min="13049" max="13049" width="14.5546875" style="36" customWidth="1"/>
    <col min="13050" max="13051" width="11.6640625" style="36" customWidth="1"/>
    <col min="13052" max="13052" width="3.88671875" style="36" customWidth="1"/>
    <col min="13053" max="13053" width="5.33203125" style="36" customWidth="1"/>
    <col min="13054" max="13054" width="5.6640625" style="36" customWidth="1"/>
    <col min="13055" max="13055" width="3" style="36" customWidth="1"/>
    <col min="13056" max="13056" width="12.6640625" style="36" customWidth="1"/>
    <col min="13057" max="13057" width="9.6640625" style="36" customWidth="1"/>
    <col min="13058" max="13058" width="13.6640625" style="36" customWidth="1"/>
    <col min="13059" max="13059" width="9.6640625" style="36" customWidth="1"/>
    <col min="13060" max="13060" width="13.6640625" style="36" customWidth="1"/>
    <col min="13061" max="13061" width="9.6640625" style="36" customWidth="1"/>
    <col min="13062" max="13062" width="13.6640625" style="36" customWidth="1"/>
    <col min="13063" max="13063" width="9.6640625" style="36" customWidth="1"/>
    <col min="13064" max="13064" width="13.6640625" style="36" customWidth="1"/>
    <col min="13065" max="13303" width="14.5546875" style="36"/>
    <col min="13304" max="13304" width="7.33203125" style="36" customWidth="1"/>
    <col min="13305" max="13305" width="14.5546875" style="36" customWidth="1"/>
    <col min="13306" max="13307" width="11.6640625" style="36" customWidth="1"/>
    <col min="13308" max="13308" width="3.88671875" style="36" customWidth="1"/>
    <col min="13309" max="13309" width="5.33203125" style="36" customWidth="1"/>
    <col min="13310" max="13310" width="5.6640625" style="36" customWidth="1"/>
    <col min="13311" max="13311" width="3" style="36" customWidth="1"/>
    <col min="13312" max="13312" width="12.6640625" style="36" customWidth="1"/>
    <col min="13313" max="13313" width="9.6640625" style="36" customWidth="1"/>
    <col min="13314" max="13314" width="13.6640625" style="36" customWidth="1"/>
    <col min="13315" max="13315" width="9.6640625" style="36" customWidth="1"/>
    <col min="13316" max="13316" width="13.6640625" style="36" customWidth="1"/>
    <col min="13317" max="13317" width="9.6640625" style="36" customWidth="1"/>
    <col min="13318" max="13318" width="13.6640625" style="36" customWidth="1"/>
    <col min="13319" max="13319" width="9.6640625" style="36" customWidth="1"/>
    <col min="13320" max="13320" width="13.6640625" style="36" customWidth="1"/>
    <col min="13321" max="13559" width="14.5546875" style="36"/>
    <col min="13560" max="13560" width="7.33203125" style="36" customWidth="1"/>
    <col min="13561" max="13561" width="14.5546875" style="36" customWidth="1"/>
    <col min="13562" max="13563" width="11.6640625" style="36" customWidth="1"/>
    <col min="13564" max="13564" width="3.88671875" style="36" customWidth="1"/>
    <col min="13565" max="13565" width="5.33203125" style="36" customWidth="1"/>
    <col min="13566" max="13566" width="5.6640625" style="36" customWidth="1"/>
    <col min="13567" max="13567" width="3" style="36" customWidth="1"/>
    <col min="13568" max="13568" width="12.6640625" style="36" customWidth="1"/>
    <col min="13569" max="13569" width="9.6640625" style="36" customWidth="1"/>
    <col min="13570" max="13570" width="13.6640625" style="36" customWidth="1"/>
    <col min="13571" max="13571" width="9.6640625" style="36" customWidth="1"/>
    <col min="13572" max="13572" width="13.6640625" style="36" customWidth="1"/>
    <col min="13573" max="13573" width="9.6640625" style="36" customWidth="1"/>
    <col min="13574" max="13574" width="13.6640625" style="36" customWidth="1"/>
    <col min="13575" max="13575" width="9.6640625" style="36" customWidth="1"/>
    <col min="13576" max="13576" width="13.6640625" style="36" customWidth="1"/>
    <col min="13577" max="13815" width="14.5546875" style="36"/>
    <col min="13816" max="13816" width="7.33203125" style="36" customWidth="1"/>
    <col min="13817" max="13817" width="14.5546875" style="36" customWidth="1"/>
    <col min="13818" max="13819" width="11.6640625" style="36" customWidth="1"/>
    <col min="13820" max="13820" width="3.88671875" style="36" customWidth="1"/>
    <col min="13821" max="13821" width="5.33203125" style="36" customWidth="1"/>
    <col min="13822" max="13822" width="5.6640625" style="36" customWidth="1"/>
    <col min="13823" max="13823" width="3" style="36" customWidth="1"/>
    <col min="13824" max="13824" width="12.6640625" style="36" customWidth="1"/>
    <col min="13825" max="13825" width="9.6640625" style="36" customWidth="1"/>
    <col min="13826" max="13826" width="13.6640625" style="36" customWidth="1"/>
    <col min="13827" max="13827" width="9.6640625" style="36" customWidth="1"/>
    <col min="13828" max="13828" width="13.6640625" style="36" customWidth="1"/>
    <col min="13829" max="13829" width="9.6640625" style="36" customWidth="1"/>
    <col min="13830" max="13830" width="13.6640625" style="36" customWidth="1"/>
    <col min="13831" max="13831" width="9.6640625" style="36" customWidth="1"/>
    <col min="13832" max="13832" width="13.6640625" style="36" customWidth="1"/>
    <col min="13833" max="14071" width="14.5546875" style="36"/>
    <col min="14072" max="14072" width="7.33203125" style="36" customWidth="1"/>
    <col min="14073" max="14073" width="14.5546875" style="36" customWidth="1"/>
    <col min="14074" max="14075" width="11.6640625" style="36" customWidth="1"/>
    <col min="14076" max="14076" width="3.88671875" style="36" customWidth="1"/>
    <col min="14077" max="14077" width="5.33203125" style="36" customWidth="1"/>
    <col min="14078" max="14078" width="5.6640625" style="36" customWidth="1"/>
    <col min="14079" max="14079" width="3" style="36" customWidth="1"/>
    <col min="14080" max="14080" width="12.6640625" style="36" customWidth="1"/>
    <col min="14081" max="14081" width="9.6640625" style="36" customWidth="1"/>
    <col min="14082" max="14082" width="13.6640625" style="36" customWidth="1"/>
    <col min="14083" max="14083" width="9.6640625" style="36" customWidth="1"/>
    <col min="14084" max="14084" width="13.6640625" style="36" customWidth="1"/>
    <col min="14085" max="14085" width="9.6640625" style="36" customWidth="1"/>
    <col min="14086" max="14086" width="13.6640625" style="36" customWidth="1"/>
    <col min="14087" max="14087" width="9.6640625" style="36" customWidth="1"/>
    <col min="14088" max="14088" width="13.6640625" style="36" customWidth="1"/>
    <col min="14089" max="14327" width="14.5546875" style="36"/>
    <col min="14328" max="14328" width="7.33203125" style="36" customWidth="1"/>
    <col min="14329" max="14329" width="14.5546875" style="36" customWidth="1"/>
    <col min="14330" max="14331" width="11.6640625" style="36" customWidth="1"/>
    <col min="14332" max="14332" width="3.88671875" style="36" customWidth="1"/>
    <col min="14333" max="14333" width="5.33203125" style="36" customWidth="1"/>
    <col min="14334" max="14334" width="5.6640625" style="36" customWidth="1"/>
    <col min="14335" max="14335" width="3" style="36" customWidth="1"/>
    <col min="14336" max="14336" width="12.6640625" style="36" customWidth="1"/>
    <col min="14337" max="14337" width="9.6640625" style="36" customWidth="1"/>
    <col min="14338" max="14338" width="13.6640625" style="36" customWidth="1"/>
    <col min="14339" max="14339" width="9.6640625" style="36" customWidth="1"/>
    <col min="14340" max="14340" width="13.6640625" style="36" customWidth="1"/>
    <col min="14341" max="14341" width="9.6640625" style="36" customWidth="1"/>
    <col min="14342" max="14342" width="13.6640625" style="36" customWidth="1"/>
    <col min="14343" max="14343" width="9.6640625" style="36" customWidth="1"/>
    <col min="14344" max="14344" width="13.6640625" style="36" customWidth="1"/>
    <col min="14345" max="14583" width="14.5546875" style="36"/>
    <col min="14584" max="14584" width="7.33203125" style="36" customWidth="1"/>
    <col min="14585" max="14585" width="14.5546875" style="36" customWidth="1"/>
    <col min="14586" max="14587" width="11.6640625" style="36" customWidth="1"/>
    <col min="14588" max="14588" width="3.88671875" style="36" customWidth="1"/>
    <col min="14589" max="14589" width="5.33203125" style="36" customWidth="1"/>
    <col min="14590" max="14590" width="5.6640625" style="36" customWidth="1"/>
    <col min="14591" max="14591" width="3" style="36" customWidth="1"/>
    <col min="14592" max="14592" width="12.6640625" style="36" customWidth="1"/>
    <col min="14593" max="14593" width="9.6640625" style="36" customWidth="1"/>
    <col min="14594" max="14594" width="13.6640625" style="36" customWidth="1"/>
    <col min="14595" max="14595" width="9.6640625" style="36" customWidth="1"/>
    <col min="14596" max="14596" width="13.6640625" style="36" customWidth="1"/>
    <col min="14597" max="14597" width="9.6640625" style="36" customWidth="1"/>
    <col min="14598" max="14598" width="13.6640625" style="36" customWidth="1"/>
    <col min="14599" max="14599" width="9.6640625" style="36" customWidth="1"/>
    <col min="14600" max="14600" width="13.6640625" style="36" customWidth="1"/>
    <col min="14601" max="14839" width="14.5546875" style="36"/>
    <col min="14840" max="14840" width="7.33203125" style="36" customWidth="1"/>
    <col min="14841" max="14841" width="14.5546875" style="36" customWidth="1"/>
    <col min="14842" max="14843" width="11.6640625" style="36" customWidth="1"/>
    <col min="14844" max="14844" width="3.88671875" style="36" customWidth="1"/>
    <col min="14845" max="14845" width="5.33203125" style="36" customWidth="1"/>
    <col min="14846" max="14846" width="5.6640625" style="36" customWidth="1"/>
    <col min="14847" max="14847" width="3" style="36" customWidth="1"/>
    <col min="14848" max="14848" width="12.6640625" style="36" customWidth="1"/>
    <col min="14849" max="14849" width="9.6640625" style="36" customWidth="1"/>
    <col min="14850" max="14850" width="13.6640625" style="36" customWidth="1"/>
    <col min="14851" max="14851" width="9.6640625" style="36" customWidth="1"/>
    <col min="14852" max="14852" width="13.6640625" style="36" customWidth="1"/>
    <col min="14853" max="14853" width="9.6640625" style="36" customWidth="1"/>
    <col min="14854" max="14854" width="13.6640625" style="36" customWidth="1"/>
    <col min="14855" max="14855" width="9.6640625" style="36" customWidth="1"/>
    <col min="14856" max="14856" width="13.6640625" style="36" customWidth="1"/>
    <col min="14857" max="15095" width="14.5546875" style="36"/>
    <col min="15096" max="15096" width="7.33203125" style="36" customWidth="1"/>
    <col min="15097" max="15097" width="14.5546875" style="36" customWidth="1"/>
    <col min="15098" max="15099" width="11.6640625" style="36" customWidth="1"/>
    <col min="15100" max="15100" width="3.88671875" style="36" customWidth="1"/>
    <col min="15101" max="15101" width="5.33203125" style="36" customWidth="1"/>
    <col min="15102" max="15102" width="5.6640625" style="36" customWidth="1"/>
    <col min="15103" max="15103" width="3" style="36" customWidth="1"/>
    <col min="15104" max="15104" width="12.6640625" style="36" customWidth="1"/>
    <col min="15105" max="15105" width="9.6640625" style="36" customWidth="1"/>
    <col min="15106" max="15106" width="13.6640625" style="36" customWidth="1"/>
    <col min="15107" max="15107" width="9.6640625" style="36" customWidth="1"/>
    <col min="15108" max="15108" width="13.6640625" style="36" customWidth="1"/>
    <col min="15109" max="15109" width="9.6640625" style="36" customWidth="1"/>
    <col min="15110" max="15110" width="13.6640625" style="36" customWidth="1"/>
    <col min="15111" max="15111" width="9.6640625" style="36" customWidth="1"/>
    <col min="15112" max="15112" width="13.6640625" style="36" customWidth="1"/>
    <col min="15113" max="15351" width="14.5546875" style="36"/>
    <col min="15352" max="15352" width="7.33203125" style="36" customWidth="1"/>
    <col min="15353" max="15353" width="14.5546875" style="36" customWidth="1"/>
    <col min="15354" max="15355" width="11.6640625" style="36" customWidth="1"/>
    <col min="15356" max="15356" width="3.88671875" style="36" customWidth="1"/>
    <col min="15357" max="15357" width="5.33203125" style="36" customWidth="1"/>
    <col min="15358" max="15358" width="5.6640625" style="36" customWidth="1"/>
    <col min="15359" max="15359" width="3" style="36" customWidth="1"/>
    <col min="15360" max="15360" width="12.6640625" style="36" customWidth="1"/>
    <col min="15361" max="15361" width="9.6640625" style="36" customWidth="1"/>
    <col min="15362" max="15362" width="13.6640625" style="36" customWidth="1"/>
    <col min="15363" max="15363" width="9.6640625" style="36" customWidth="1"/>
    <col min="15364" max="15364" width="13.6640625" style="36" customWidth="1"/>
    <col min="15365" max="15365" width="9.6640625" style="36" customWidth="1"/>
    <col min="15366" max="15366" width="13.6640625" style="36" customWidth="1"/>
    <col min="15367" max="15367" width="9.6640625" style="36" customWidth="1"/>
    <col min="15368" max="15368" width="13.6640625" style="36" customWidth="1"/>
    <col min="15369" max="15607" width="14.5546875" style="36"/>
    <col min="15608" max="15608" width="7.33203125" style="36" customWidth="1"/>
    <col min="15609" max="15609" width="14.5546875" style="36" customWidth="1"/>
    <col min="15610" max="15611" width="11.6640625" style="36" customWidth="1"/>
    <col min="15612" max="15612" width="3.88671875" style="36" customWidth="1"/>
    <col min="15613" max="15613" width="5.33203125" style="36" customWidth="1"/>
    <col min="15614" max="15614" width="5.6640625" style="36" customWidth="1"/>
    <col min="15615" max="15615" width="3" style="36" customWidth="1"/>
    <col min="15616" max="15616" width="12.6640625" style="36" customWidth="1"/>
    <col min="15617" max="15617" width="9.6640625" style="36" customWidth="1"/>
    <col min="15618" max="15618" width="13.6640625" style="36" customWidth="1"/>
    <col min="15619" max="15619" width="9.6640625" style="36" customWidth="1"/>
    <col min="15620" max="15620" width="13.6640625" style="36" customWidth="1"/>
    <col min="15621" max="15621" width="9.6640625" style="36" customWidth="1"/>
    <col min="15622" max="15622" width="13.6640625" style="36" customWidth="1"/>
    <col min="15623" max="15623" width="9.6640625" style="36" customWidth="1"/>
    <col min="15624" max="15624" width="13.6640625" style="36" customWidth="1"/>
    <col min="15625" max="15863" width="14.5546875" style="36"/>
    <col min="15864" max="15864" width="7.33203125" style="36" customWidth="1"/>
    <col min="15865" max="15865" width="14.5546875" style="36" customWidth="1"/>
    <col min="15866" max="15867" width="11.6640625" style="36" customWidth="1"/>
    <col min="15868" max="15868" width="3.88671875" style="36" customWidth="1"/>
    <col min="15869" max="15869" width="5.33203125" style="36" customWidth="1"/>
    <col min="15870" max="15870" width="5.6640625" style="36" customWidth="1"/>
    <col min="15871" max="15871" width="3" style="36" customWidth="1"/>
    <col min="15872" max="15872" width="12.6640625" style="36" customWidth="1"/>
    <col min="15873" max="15873" width="9.6640625" style="36" customWidth="1"/>
    <col min="15874" max="15874" width="13.6640625" style="36" customWidth="1"/>
    <col min="15875" max="15875" width="9.6640625" style="36" customWidth="1"/>
    <col min="15876" max="15876" width="13.6640625" style="36" customWidth="1"/>
    <col min="15877" max="15877" width="9.6640625" style="36" customWidth="1"/>
    <col min="15878" max="15878" width="13.6640625" style="36" customWidth="1"/>
    <col min="15879" max="15879" width="9.6640625" style="36" customWidth="1"/>
    <col min="15880" max="15880" width="13.6640625" style="36" customWidth="1"/>
    <col min="15881" max="16119" width="14.5546875" style="36"/>
    <col min="16120" max="16120" width="7.33203125" style="36" customWidth="1"/>
    <col min="16121" max="16121" width="14.5546875" style="36" customWidth="1"/>
    <col min="16122" max="16123" width="11.6640625" style="36" customWidth="1"/>
    <col min="16124" max="16124" width="3.88671875" style="36" customWidth="1"/>
    <col min="16125" max="16125" width="5.33203125" style="36" customWidth="1"/>
    <col min="16126" max="16126" width="5.6640625" style="36" customWidth="1"/>
    <col min="16127" max="16127" width="3" style="36" customWidth="1"/>
    <col min="16128" max="16128" width="12.6640625" style="36" customWidth="1"/>
    <col min="16129" max="16129" width="9.6640625" style="36" customWidth="1"/>
    <col min="16130" max="16130" width="13.6640625" style="36" customWidth="1"/>
    <col min="16131" max="16131" width="9.6640625" style="36" customWidth="1"/>
    <col min="16132" max="16132" width="13.6640625" style="36" customWidth="1"/>
    <col min="16133" max="16133" width="9.6640625" style="36" customWidth="1"/>
    <col min="16134" max="16134" width="13.6640625" style="36" customWidth="1"/>
    <col min="16135" max="16135" width="9.6640625" style="36" customWidth="1"/>
    <col min="16136" max="16136" width="13.6640625" style="36" customWidth="1"/>
    <col min="16137" max="16384" width="14.5546875" style="36"/>
  </cols>
  <sheetData>
    <row r="1" spans="1:15" ht="24" customHeight="1" thickBot="1" x14ac:dyDescent="0.25">
      <c r="A1" s="514" t="s">
        <v>69</v>
      </c>
      <c r="B1" s="514"/>
      <c r="C1" s="514"/>
      <c r="D1" s="514"/>
      <c r="E1" s="514"/>
      <c r="F1" s="514"/>
      <c r="G1" s="514"/>
      <c r="H1" s="514"/>
    </row>
    <row r="2" spans="1:15" ht="25.5" customHeight="1" x14ac:dyDescent="0.2">
      <c r="A2" s="66" t="s">
        <v>10</v>
      </c>
      <c r="B2" s="66" t="s">
        <v>16</v>
      </c>
      <c r="C2" s="66" t="s">
        <v>50</v>
      </c>
      <c r="D2" s="67" t="s">
        <v>2</v>
      </c>
      <c r="E2" s="511" t="s">
        <v>53</v>
      </c>
      <c r="F2" s="511"/>
      <c r="G2" s="66" t="s">
        <v>66</v>
      </c>
      <c r="H2" s="511" t="s">
        <v>67</v>
      </c>
      <c r="I2" s="511"/>
      <c r="J2" s="512" t="s">
        <v>0</v>
      </c>
      <c r="K2" s="513"/>
    </row>
    <row r="3" spans="1:15" ht="25.5" customHeight="1" x14ac:dyDescent="0.2">
      <c r="A3" s="64" t="e">
        <f>#REF!</f>
        <v>#REF!</v>
      </c>
      <c r="B3" s="61" t="e">
        <f>#REF!</f>
        <v>#REF!</v>
      </c>
      <c r="C3" s="64" t="s">
        <v>5</v>
      </c>
      <c r="D3" s="65"/>
      <c r="E3" s="64"/>
      <c r="F3" s="64"/>
      <c r="G3" s="68" t="e">
        <f>+#REF!</f>
        <v>#REF!</v>
      </c>
      <c r="H3" s="68" t="e">
        <f>#REF!</f>
        <v>#REF!</v>
      </c>
      <c r="I3" s="60"/>
      <c r="J3" s="62"/>
      <c r="K3" s="63"/>
    </row>
    <row r="4" spans="1:15" ht="25.5" customHeight="1" x14ac:dyDescent="0.2">
      <c r="A4" s="93" t="s">
        <v>88</v>
      </c>
      <c r="B4" s="61" t="e">
        <f>+#REF!</f>
        <v>#REF!</v>
      </c>
      <c r="C4" s="64" t="s">
        <v>5</v>
      </c>
      <c r="D4" s="65"/>
      <c r="E4" s="64"/>
      <c r="F4" s="64"/>
      <c r="G4" s="68" t="e">
        <f>+#REF!</f>
        <v>#REF!</v>
      </c>
      <c r="H4" s="68" t="e">
        <f>+#REF!</f>
        <v>#REF!</v>
      </c>
      <c r="I4" s="60"/>
      <c r="J4" s="62"/>
      <c r="K4" s="63"/>
      <c r="N4" s="48">
        <v>981176263</v>
      </c>
    </row>
    <row r="5" spans="1:15" ht="25.5" customHeight="1" x14ac:dyDescent="0.2">
      <c r="A5" s="93" t="s">
        <v>84</v>
      </c>
      <c r="B5" s="61" t="e">
        <f>#REF!</f>
        <v>#REF!</v>
      </c>
      <c r="C5" s="64" t="s">
        <v>5</v>
      </c>
      <c r="D5" s="65"/>
      <c r="E5" s="64"/>
      <c r="F5" s="64"/>
      <c r="G5" s="68" t="e">
        <f>+#REF!</f>
        <v>#REF!</v>
      </c>
      <c r="H5" s="68" t="e">
        <f>+#REF!</f>
        <v>#REF!</v>
      </c>
      <c r="I5" s="68" t="e">
        <f>#REF!</f>
        <v>#REF!</v>
      </c>
      <c r="J5" s="68" t="e">
        <f>#REF!</f>
        <v>#REF!</v>
      </c>
      <c r="K5" s="68" t="e">
        <f>#REF!</f>
        <v>#REF!</v>
      </c>
    </row>
    <row r="6" spans="1:15" ht="25.5" customHeight="1" x14ac:dyDescent="0.2">
      <c r="A6" s="93" t="s">
        <v>85</v>
      </c>
      <c r="B6" s="61" t="e">
        <f>#REF!</f>
        <v>#REF!</v>
      </c>
      <c r="C6" s="64" t="s">
        <v>5</v>
      </c>
      <c r="D6" s="65"/>
      <c r="E6" s="64"/>
      <c r="F6" s="64"/>
      <c r="G6" s="68"/>
      <c r="H6" s="68"/>
      <c r="I6" s="68"/>
      <c r="J6" s="97"/>
      <c r="K6" s="97"/>
    </row>
    <row r="7" spans="1:15" ht="25.5" customHeight="1" x14ac:dyDescent="0.2">
      <c r="A7" s="93" t="s">
        <v>87</v>
      </c>
      <c r="B7" s="61" t="e">
        <f>#REF!</f>
        <v>#REF!</v>
      </c>
      <c r="C7" s="64" t="s">
        <v>5</v>
      </c>
      <c r="D7" s="65"/>
      <c r="E7" s="64"/>
      <c r="F7" s="64"/>
      <c r="G7" s="68"/>
      <c r="H7" s="68"/>
      <c r="I7" s="68"/>
      <c r="J7" s="97"/>
      <c r="K7" s="97"/>
    </row>
    <row r="8" spans="1:15" ht="25.5" customHeight="1" x14ac:dyDescent="0.2">
      <c r="A8" s="93" t="s">
        <v>86</v>
      </c>
      <c r="B8" s="61" t="e">
        <f>#REF!</f>
        <v>#REF!</v>
      </c>
      <c r="C8" s="64" t="s">
        <v>5</v>
      </c>
      <c r="D8" s="65"/>
      <c r="E8" s="64"/>
      <c r="F8" s="64"/>
      <c r="G8" s="68"/>
      <c r="H8" s="68"/>
      <c r="I8" s="68"/>
      <c r="J8" s="97"/>
      <c r="K8" s="97"/>
    </row>
    <row r="9" spans="1:15" ht="25.5" customHeight="1" x14ac:dyDescent="0.2">
      <c r="A9" s="93" t="s">
        <v>91</v>
      </c>
      <c r="B9" s="61" t="e">
        <f>#REF!</f>
        <v>#REF!</v>
      </c>
      <c r="C9" s="64" t="s">
        <v>5</v>
      </c>
      <c r="D9" s="65"/>
      <c r="E9" s="64"/>
      <c r="F9" s="64"/>
      <c r="G9" s="68" t="e">
        <f>+#REF!</f>
        <v>#REF!</v>
      </c>
      <c r="H9" s="68" t="e">
        <f>+#REF!</f>
        <v>#REF!</v>
      </c>
      <c r="I9" s="60"/>
      <c r="J9" s="62"/>
      <c r="K9" s="63"/>
    </row>
    <row r="10" spans="1:15" ht="25.5" customHeight="1" x14ac:dyDescent="0.2">
      <c r="A10" s="93" t="s">
        <v>92</v>
      </c>
      <c r="B10" s="61" t="e">
        <f>#REF!</f>
        <v>#REF!</v>
      </c>
      <c r="C10" s="64" t="s">
        <v>5</v>
      </c>
      <c r="D10" s="65"/>
      <c r="E10" s="64"/>
      <c r="F10" s="64"/>
      <c r="G10" s="68" t="e">
        <f>+#REF!</f>
        <v>#REF!</v>
      </c>
      <c r="H10" s="68" t="e">
        <f>+#REF!</f>
        <v>#REF!</v>
      </c>
      <c r="I10" s="60"/>
      <c r="J10" s="62"/>
      <c r="K10" s="63"/>
    </row>
    <row r="11" spans="1:15" ht="25.5" customHeight="1" x14ac:dyDescent="0.2">
      <c r="A11" s="93" t="s">
        <v>93</v>
      </c>
      <c r="B11" s="61" t="e">
        <f>#REF!</f>
        <v>#REF!</v>
      </c>
      <c r="C11" s="64" t="s">
        <v>5</v>
      </c>
      <c r="D11" s="65"/>
      <c r="E11" s="64"/>
      <c r="F11" s="64"/>
      <c r="G11" s="68" t="e">
        <f>+#REF!</f>
        <v>#REF!</v>
      </c>
      <c r="H11" s="68" t="e">
        <f>+#REF!</f>
        <v>#REF!</v>
      </c>
      <c r="I11" s="60"/>
      <c r="J11" s="62"/>
      <c r="K11" s="63"/>
    </row>
    <row r="12" spans="1:15" ht="25.5" customHeight="1" x14ac:dyDescent="0.2">
      <c r="A12" s="93" t="s">
        <v>94</v>
      </c>
      <c r="B12" s="61" t="e">
        <f>#REF!</f>
        <v>#REF!</v>
      </c>
      <c r="C12" s="64" t="s">
        <v>5</v>
      </c>
      <c r="D12" s="65"/>
      <c r="E12" s="64"/>
      <c r="F12" s="64"/>
      <c r="G12" s="68" t="e">
        <f>+#REF!</f>
        <v>#REF!</v>
      </c>
      <c r="H12" s="68" t="e">
        <f>+#REF!</f>
        <v>#REF!</v>
      </c>
      <c r="I12" s="60"/>
      <c r="J12" s="62"/>
      <c r="K12" s="63"/>
    </row>
    <row r="13" spans="1:15" ht="25.5" customHeight="1" x14ac:dyDescent="0.2">
      <c r="A13" s="509" t="s">
        <v>4</v>
      </c>
      <c r="B13" s="510"/>
      <c r="C13" s="56"/>
      <c r="D13" s="57" t="e">
        <f>SUM(#REF!)</f>
        <v>#REF!</v>
      </c>
      <c r="E13" s="58"/>
      <c r="F13" s="57" t="e">
        <f>SUM(#REF!)</f>
        <v>#REF!</v>
      </c>
      <c r="G13" s="59" t="e">
        <f>+#REF!</f>
        <v>#REF!</v>
      </c>
      <c r="H13" s="59" t="e">
        <f>+#REF!</f>
        <v>#REF!</v>
      </c>
      <c r="I13" s="55" t="e">
        <f>SUM(#REF!)</f>
        <v>#REF!</v>
      </c>
      <c r="J13" s="43"/>
      <c r="K13" s="42" t="e">
        <f>SUM(#REF!)</f>
        <v>#REF!</v>
      </c>
      <c r="L13" s="37" t="e">
        <f>+K13+I13</f>
        <v>#REF!</v>
      </c>
      <c r="M13" s="37"/>
      <c r="N13" s="37"/>
      <c r="O13" s="37"/>
    </row>
    <row r="14" spans="1:15" ht="6.75" hidden="1" customHeight="1" x14ac:dyDescent="0.2">
      <c r="A14" s="44"/>
      <c r="B14" s="41"/>
      <c r="E14" s="38"/>
      <c r="F14" s="37"/>
      <c r="G14" s="38"/>
      <c r="H14" s="38"/>
      <c r="I14" s="37"/>
      <c r="J14" s="38"/>
      <c r="K14" s="37"/>
      <c r="L14" s="37">
        <f t="shared" ref="L14:L28" si="0">+K14+I14</f>
        <v>0</v>
      </c>
      <c r="M14" s="37"/>
    </row>
    <row r="15" spans="1:15" hidden="1" x14ac:dyDescent="0.2">
      <c r="A15" s="44" t="s">
        <v>41</v>
      </c>
      <c r="B15" s="41"/>
      <c r="D15" s="45" t="e">
        <f>ROUND(D13*#REF!,2)</f>
        <v>#REF!</v>
      </c>
      <c r="E15" s="38"/>
      <c r="F15" s="45" t="e">
        <f>ROUND(F13*#REF!,2)</f>
        <v>#REF!</v>
      </c>
      <c r="G15" s="38"/>
      <c r="H15" s="38"/>
      <c r="I15" s="45" t="e">
        <f>ROUND(I13*#REF!,2)</f>
        <v>#REF!</v>
      </c>
      <c r="J15" s="38"/>
      <c r="K15" s="45" t="e">
        <f>ROUND(K13*#REF!,2)</f>
        <v>#REF!</v>
      </c>
      <c r="L15" s="37" t="e">
        <f t="shared" si="0"/>
        <v>#REF!</v>
      </c>
      <c r="M15" s="37"/>
      <c r="N15" s="37"/>
      <c r="O15" s="37"/>
    </row>
    <row r="16" spans="1:15" ht="7.5" hidden="1" customHeight="1" x14ac:dyDescent="0.2">
      <c r="A16" s="44"/>
      <c r="B16" s="41"/>
      <c r="E16" s="38"/>
      <c r="F16" s="37"/>
      <c r="G16" s="38"/>
      <c r="H16" s="38"/>
      <c r="I16" s="37"/>
      <c r="J16" s="38"/>
      <c r="K16" s="37"/>
      <c r="L16" s="37">
        <f t="shared" si="0"/>
        <v>0</v>
      </c>
    </row>
    <row r="17" spans="1:15" hidden="1" x14ac:dyDescent="0.2">
      <c r="A17" s="44" t="s">
        <v>54</v>
      </c>
      <c r="B17" s="41"/>
      <c r="D17" s="45" t="e">
        <f>ROUND(D13*#REF!,2)</f>
        <v>#REF!</v>
      </c>
      <c r="E17" s="38"/>
      <c r="F17" s="45" t="e">
        <f>ROUND(F13*#REF!,2)</f>
        <v>#REF!</v>
      </c>
      <c r="G17" s="38"/>
      <c r="H17" s="38"/>
      <c r="I17" s="45" t="e">
        <f>ROUND(I13*#REF!,2)</f>
        <v>#REF!</v>
      </c>
      <c r="J17" s="38"/>
      <c r="K17" s="45" t="e">
        <f>ROUND(K13*#REF!,2)</f>
        <v>#REF!</v>
      </c>
      <c r="L17" s="37" t="e">
        <f t="shared" si="0"/>
        <v>#REF!</v>
      </c>
      <c r="M17" s="37"/>
      <c r="N17" s="37"/>
      <c r="O17" s="37"/>
    </row>
    <row r="18" spans="1:15" hidden="1" x14ac:dyDescent="0.2">
      <c r="A18" s="44"/>
      <c r="B18" s="41"/>
      <c r="E18" s="38"/>
      <c r="F18" s="37"/>
      <c r="G18" s="38"/>
      <c r="H18" s="38"/>
      <c r="I18" s="37"/>
      <c r="J18" s="38"/>
      <c r="K18" s="37"/>
      <c r="L18" s="37">
        <f t="shared" si="0"/>
        <v>0</v>
      </c>
    </row>
    <row r="19" spans="1:15" ht="10.8" hidden="1" thickBot="1" x14ac:dyDescent="0.25">
      <c r="A19" s="46" t="s">
        <v>33</v>
      </c>
      <c r="B19" s="41"/>
      <c r="D19" s="47" t="e">
        <f>D13+D15+D17</f>
        <v>#REF!</v>
      </c>
      <c r="E19" s="38"/>
      <c r="F19" s="47" t="e">
        <f>F13+F15+F17</f>
        <v>#REF!</v>
      </c>
      <c r="G19" s="38"/>
      <c r="H19" s="38"/>
      <c r="I19" s="47" t="e">
        <f>I13+I15+I17</f>
        <v>#REF!</v>
      </c>
      <c r="J19" s="38"/>
      <c r="K19" s="47" t="e">
        <f>K13+K15+K17</f>
        <v>#REF!</v>
      </c>
      <c r="L19" s="37" t="e">
        <f t="shared" si="0"/>
        <v>#REF!</v>
      </c>
      <c r="M19" s="37"/>
      <c r="N19" s="37"/>
      <c r="O19" s="37"/>
    </row>
    <row r="20" spans="1:15" ht="6.75" hidden="1" customHeight="1" thickBot="1" x14ac:dyDescent="0.25">
      <c r="A20" s="46"/>
      <c r="B20" s="41"/>
      <c r="E20" s="38"/>
      <c r="F20" s="37"/>
      <c r="G20" s="38"/>
      <c r="H20" s="38"/>
      <c r="I20" s="37"/>
      <c r="J20" s="38"/>
      <c r="K20" s="37"/>
      <c r="L20" s="37">
        <f t="shared" si="0"/>
        <v>0</v>
      </c>
    </row>
    <row r="21" spans="1:15" ht="12" hidden="1" customHeight="1" thickBot="1" x14ac:dyDescent="0.25">
      <c r="A21" s="46" t="s">
        <v>64</v>
      </c>
      <c r="B21" s="41"/>
      <c r="D21" s="47" t="e">
        <f>#REF!*D19</f>
        <v>#REF!</v>
      </c>
      <c r="E21" s="38"/>
      <c r="F21" s="47" t="e">
        <f>ROUND(F19*#REF!,2)</f>
        <v>#REF!</v>
      </c>
      <c r="G21" s="38"/>
      <c r="H21" s="38"/>
      <c r="I21" s="47" t="e">
        <f>ROUND(I19*#REF!,2)</f>
        <v>#REF!</v>
      </c>
      <c r="J21" s="38"/>
      <c r="K21" s="47" t="e">
        <f>ROUND(K19*#REF!,2)</f>
        <v>#REF!</v>
      </c>
      <c r="L21" s="37" t="e">
        <f>+K21+I21</f>
        <v>#REF!</v>
      </c>
    </row>
    <row r="22" spans="1:15" ht="9" hidden="1" customHeight="1" x14ac:dyDescent="0.2">
      <c r="A22" s="46"/>
      <c r="B22" s="41"/>
      <c r="E22" s="38"/>
      <c r="F22" s="37"/>
      <c r="G22" s="38"/>
      <c r="H22" s="38"/>
      <c r="I22" s="37"/>
      <c r="J22" s="38"/>
      <c r="K22" s="37">
        <f>+D22-I22</f>
        <v>0</v>
      </c>
      <c r="L22" s="37">
        <f t="shared" si="0"/>
        <v>0</v>
      </c>
    </row>
    <row r="23" spans="1:15" hidden="1" x14ac:dyDescent="0.2">
      <c r="A23" s="44" t="s">
        <v>52</v>
      </c>
      <c r="B23" s="41"/>
      <c r="D23" s="45" t="e">
        <f>ROUND(D19*#REF!,2)-0.01</f>
        <v>#REF!</v>
      </c>
      <c r="E23" s="38"/>
      <c r="F23" s="45" t="e">
        <f>ROUND(F21*#REF!,2)</f>
        <v>#REF!</v>
      </c>
      <c r="G23" s="38"/>
      <c r="H23" s="38"/>
      <c r="I23" s="45" t="e">
        <f>ROUND(I21*#REF!,2)</f>
        <v>#REF!</v>
      </c>
      <c r="J23" s="38"/>
      <c r="K23" s="45" t="e">
        <f>ROUND(K21*#REF!,2)-0.01</f>
        <v>#REF!</v>
      </c>
      <c r="L23" s="37" t="e">
        <f t="shared" si="0"/>
        <v>#REF!</v>
      </c>
      <c r="M23" s="37"/>
      <c r="N23" s="37"/>
      <c r="O23" s="37"/>
    </row>
    <row r="24" spans="1:15" ht="6.75" hidden="1" customHeight="1" thickBot="1" x14ac:dyDescent="0.25">
      <c r="A24" s="44"/>
      <c r="B24" s="41"/>
      <c r="E24" s="38"/>
      <c r="F24" s="37"/>
      <c r="G24" s="38"/>
      <c r="H24" s="38"/>
      <c r="I24" s="37"/>
      <c r="J24" s="38"/>
      <c r="K24" s="37"/>
      <c r="L24" s="37">
        <f t="shared" si="0"/>
        <v>0</v>
      </c>
    </row>
    <row r="25" spans="1:15" ht="10.8" hidden="1" thickBot="1" x14ac:dyDescent="0.25">
      <c r="A25" s="40" t="s">
        <v>65</v>
      </c>
      <c r="B25" s="41"/>
      <c r="D25" s="47" t="e">
        <f>D21+D23</f>
        <v>#REF!</v>
      </c>
      <c r="E25" s="38"/>
      <c r="F25" s="47" t="e">
        <f>F23+F21</f>
        <v>#REF!</v>
      </c>
      <c r="G25" s="38"/>
      <c r="H25" s="38"/>
      <c r="I25" s="47" t="e">
        <f>I21+I23</f>
        <v>#REF!</v>
      </c>
      <c r="J25" s="38"/>
      <c r="K25" s="47" t="e">
        <f>K21+K23</f>
        <v>#REF!</v>
      </c>
      <c r="L25" s="37" t="e">
        <f t="shared" si="0"/>
        <v>#REF!</v>
      </c>
      <c r="M25" s="37"/>
      <c r="N25" s="37"/>
      <c r="O25" s="37"/>
    </row>
    <row r="26" spans="1:15" ht="6.6" hidden="1" customHeight="1" thickBot="1" x14ac:dyDescent="0.25">
      <c r="A26" s="40"/>
      <c r="B26" s="41"/>
      <c r="E26" s="38"/>
      <c r="F26" s="37"/>
      <c r="G26" s="38"/>
      <c r="H26" s="38"/>
      <c r="I26" s="37"/>
      <c r="J26" s="38"/>
      <c r="K26" s="37"/>
      <c r="L26" s="37">
        <f t="shared" si="0"/>
        <v>0</v>
      </c>
    </row>
    <row r="27" spans="1:15" ht="10.8" hidden="1" thickBot="1" x14ac:dyDescent="0.25">
      <c r="A27" s="48" t="s">
        <v>56</v>
      </c>
      <c r="D27" s="49">
        <v>1</v>
      </c>
      <c r="E27" s="37"/>
      <c r="F27" s="50" t="e">
        <f>F25/D25</f>
        <v>#REF!</v>
      </c>
      <c r="K27" s="50" t="e">
        <f>+K25/D25</f>
        <v>#REF!</v>
      </c>
      <c r="L27" s="37" t="e">
        <f>+K27+H13</f>
        <v>#REF!</v>
      </c>
    </row>
    <row r="28" spans="1:15" ht="4.95" hidden="1" customHeight="1" x14ac:dyDescent="0.2">
      <c r="L28" s="37">
        <f t="shared" si="0"/>
        <v>0</v>
      </c>
    </row>
    <row r="29" spans="1:15" s="37" customFormat="1" x14ac:dyDescent="0.2">
      <c r="A29" s="36"/>
      <c r="B29" s="36"/>
      <c r="C29" s="39"/>
      <c r="E29" s="36"/>
      <c r="F29" s="36"/>
      <c r="G29" s="36"/>
      <c r="H29" s="36"/>
      <c r="I29" s="36"/>
      <c r="J29" s="36"/>
      <c r="K29" s="36"/>
    </row>
    <row r="31" spans="1:15" x14ac:dyDescent="0.2">
      <c r="F31" s="37"/>
      <c r="G31" s="37"/>
      <c r="I31" s="39"/>
    </row>
    <row r="32" spans="1:15" x14ac:dyDescent="0.2">
      <c r="F32" s="37"/>
      <c r="G32" s="37"/>
      <c r="H32" s="51"/>
    </row>
    <row r="33" spans="6:11" x14ac:dyDescent="0.2">
      <c r="F33" s="37"/>
      <c r="G33" s="37"/>
      <c r="H33" s="51"/>
      <c r="I33" s="39"/>
    </row>
    <row r="34" spans="6:11" x14ac:dyDescent="0.2">
      <c r="F34" s="37"/>
      <c r="G34" s="37"/>
      <c r="H34" s="51"/>
    </row>
    <row r="35" spans="6:11" x14ac:dyDescent="0.2">
      <c r="F35" s="37"/>
      <c r="G35" s="37"/>
      <c r="H35" s="51"/>
    </row>
    <row r="36" spans="6:11" x14ac:dyDescent="0.2">
      <c r="F36" s="37"/>
      <c r="G36" s="37"/>
      <c r="H36" s="51"/>
    </row>
    <row r="37" spans="6:11" x14ac:dyDescent="0.2">
      <c r="F37" s="37"/>
      <c r="G37" s="37"/>
      <c r="H37" s="51"/>
    </row>
    <row r="38" spans="6:11" x14ac:dyDescent="0.2">
      <c r="F38" s="37"/>
      <c r="G38" s="37"/>
      <c r="H38" s="51"/>
    </row>
    <row r="39" spans="6:11" x14ac:dyDescent="0.2">
      <c r="F39" s="37"/>
      <c r="G39" s="37"/>
      <c r="H39" s="51"/>
    </row>
    <row r="40" spans="6:11" x14ac:dyDescent="0.2">
      <c r="F40" s="37"/>
      <c r="G40" s="37"/>
      <c r="H40" s="51"/>
      <c r="K40" s="53"/>
    </row>
    <row r="41" spans="6:11" x14ac:dyDescent="0.2">
      <c r="F41" s="37"/>
      <c r="G41" s="37"/>
      <c r="H41" s="51"/>
    </row>
    <row r="42" spans="6:11" x14ac:dyDescent="0.2">
      <c r="F42" s="39"/>
      <c r="H42" s="51"/>
    </row>
    <row r="43" spans="6:11" x14ac:dyDescent="0.2">
      <c r="F43" s="39"/>
      <c r="H43" s="51"/>
    </row>
    <row r="45" spans="6:11" x14ac:dyDescent="0.2">
      <c r="I45" s="52"/>
    </row>
    <row r="46" spans="6:11" x14ac:dyDescent="0.2">
      <c r="I46" s="52"/>
    </row>
    <row r="47" spans="6:11" x14ac:dyDescent="0.2">
      <c r="I47" s="52"/>
    </row>
    <row r="48" spans="6:11" x14ac:dyDescent="0.2">
      <c r="I48" s="52"/>
    </row>
    <row r="49" spans="9:9" x14ac:dyDescent="0.2">
      <c r="I49" s="52"/>
    </row>
    <row r="50" spans="9:9" x14ac:dyDescent="0.2">
      <c r="I50" s="52"/>
    </row>
    <row r="51" spans="9:9" x14ac:dyDescent="0.2">
      <c r="I51" s="52"/>
    </row>
    <row r="52" spans="9:9" x14ac:dyDescent="0.2">
      <c r="I52" s="52"/>
    </row>
    <row r="53" spans="9:9" x14ac:dyDescent="0.2">
      <c r="I53" s="52"/>
    </row>
    <row r="54" spans="9:9" x14ac:dyDescent="0.2">
      <c r="I54" s="52"/>
    </row>
    <row r="55" spans="9:9" x14ac:dyDescent="0.2">
      <c r="I55" s="52"/>
    </row>
    <row r="56" spans="9:9" x14ac:dyDescent="0.2">
      <c r="I56" s="52"/>
    </row>
  </sheetData>
  <mergeCells count="5">
    <mergeCell ref="A13:B13"/>
    <mergeCell ref="H2:I2"/>
    <mergeCell ref="J2:K2"/>
    <mergeCell ref="E2:F2"/>
    <mergeCell ref="A1:H1"/>
  </mergeCells>
  <phoneticPr fontId="12" type="noConversion"/>
  <printOptions horizontalCentered="1"/>
  <pageMargins left="0.39370078740157483" right="0.39370078740157483" top="0.98425196850393704" bottom="0.98425196850393704" header="0" footer="0"/>
  <pageSetup paperSize="9" scale="70" fitToHeight="0"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3666-CC50-4EE8-A065-E41B8E966734}">
  <sheetPr>
    <tabColor rgb="FF0000FF"/>
    <pageSetUpPr fitToPage="1"/>
  </sheetPr>
  <dimension ref="A1:G60"/>
  <sheetViews>
    <sheetView tabSelected="1" view="pageBreakPreview" zoomScaleNormal="100" zoomScaleSheetLayoutView="100" workbookViewId="0">
      <selection activeCell="E9" sqref="E9"/>
    </sheetView>
  </sheetViews>
  <sheetFormatPr baseColWidth="10" defaultColWidth="12.6640625" defaultRowHeight="15" customHeight="1" x14ac:dyDescent="0.25"/>
  <cols>
    <col min="1" max="1" width="12.6640625" style="246"/>
    <col min="2" max="2" width="1.6640625" style="246" customWidth="1"/>
    <col min="3" max="3" width="40.6640625" style="246" customWidth="1"/>
    <col min="4" max="4" width="1.6640625" style="246" customWidth="1"/>
    <col min="5" max="5" width="65.6640625" style="246" customWidth="1"/>
    <col min="6" max="6" width="1.6640625" style="246" customWidth="1"/>
    <col min="7" max="16384" width="12.6640625" style="246"/>
  </cols>
  <sheetData>
    <row r="1" spans="1:6" ht="5.0999999999999996" customHeight="1" thickBot="1" x14ac:dyDescent="0.3"/>
    <row r="2" spans="1:6" ht="30" customHeight="1" thickBot="1" x14ac:dyDescent="0.3">
      <c r="B2" s="600"/>
      <c r="C2" s="601" t="s">
        <v>135</v>
      </c>
      <c r="D2" s="576"/>
      <c r="E2" s="602"/>
      <c r="F2" s="600"/>
    </row>
    <row r="3" spans="1:6" s="247" customFormat="1" ht="15" customHeight="1" x14ac:dyDescent="0.25">
      <c r="C3" s="515" t="s">
        <v>114</v>
      </c>
      <c r="D3" s="515"/>
      <c r="E3" s="515"/>
    </row>
    <row r="4" spans="1:6" ht="15" customHeight="1" x14ac:dyDescent="0.25">
      <c r="C4" s="246" t="s">
        <v>236</v>
      </c>
      <c r="D4" s="246" t="s">
        <v>211</v>
      </c>
      <c r="E4" s="246" t="s">
        <v>107</v>
      </c>
    </row>
    <row r="5" spans="1:6" ht="45" customHeight="1" x14ac:dyDescent="0.25">
      <c r="C5" s="246" t="s">
        <v>237</v>
      </c>
      <c r="D5" s="246" t="s">
        <v>211</v>
      </c>
      <c r="E5" s="248" t="s">
        <v>570</v>
      </c>
    </row>
    <row r="6" spans="1:6" ht="15" customHeight="1" x14ac:dyDescent="0.25">
      <c r="C6" s="246" t="s">
        <v>238</v>
      </c>
      <c r="D6" s="246" t="s">
        <v>211</v>
      </c>
      <c r="E6" s="248">
        <v>2536252</v>
      </c>
    </row>
    <row r="7" spans="1:6" ht="15" customHeight="1" x14ac:dyDescent="0.25">
      <c r="C7" s="246" t="s">
        <v>239</v>
      </c>
      <c r="D7" s="246" t="s">
        <v>211</v>
      </c>
      <c r="E7" s="246" t="s">
        <v>606</v>
      </c>
    </row>
    <row r="8" spans="1:6" ht="15" customHeight="1" x14ac:dyDescent="0.25">
      <c r="C8" s="246" t="s">
        <v>306</v>
      </c>
      <c r="E8" s="250">
        <v>46120</v>
      </c>
    </row>
    <row r="9" spans="1:6" ht="15" customHeight="1" x14ac:dyDescent="0.25">
      <c r="C9" s="246" t="s">
        <v>240</v>
      </c>
      <c r="D9" s="246" t="s">
        <v>211</v>
      </c>
      <c r="E9" s="249">
        <v>46485</v>
      </c>
    </row>
    <row r="10" spans="1:6" ht="15" customHeight="1" x14ac:dyDescent="0.25">
      <c r="C10" s="246" t="s">
        <v>241</v>
      </c>
      <c r="D10" s="246" t="s">
        <v>211</v>
      </c>
      <c r="E10" s="246" t="s">
        <v>113</v>
      </c>
    </row>
    <row r="11" spans="1:6" ht="15" customHeight="1" x14ac:dyDescent="0.25">
      <c r="E11" s="246" t="s">
        <v>112</v>
      </c>
    </row>
    <row r="12" spans="1:6" ht="15" customHeight="1" x14ac:dyDescent="0.25">
      <c r="A12" s="248"/>
      <c r="E12" s="246" t="s">
        <v>159</v>
      </c>
    </row>
    <row r="13" spans="1:6" ht="15" customHeight="1" x14ac:dyDescent="0.25">
      <c r="E13" s="246" t="s">
        <v>607</v>
      </c>
    </row>
    <row r="14" spans="1:6" s="247" customFormat="1" ht="15" customHeight="1" x14ac:dyDescent="0.25">
      <c r="C14" s="515" t="s">
        <v>201</v>
      </c>
      <c r="D14" s="515"/>
      <c r="E14" s="515"/>
    </row>
    <row r="15" spans="1:6" ht="15" customHeight="1" x14ac:dyDescent="0.25">
      <c r="C15" s="246" t="s">
        <v>584</v>
      </c>
      <c r="D15" s="246" t="s">
        <v>211</v>
      </c>
      <c r="E15" s="246" t="s">
        <v>573</v>
      </c>
    </row>
    <row r="16" spans="1:6" ht="15" customHeight="1" x14ac:dyDescent="0.25">
      <c r="C16" s="246" t="s">
        <v>243</v>
      </c>
      <c r="D16" s="246" t="s">
        <v>211</v>
      </c>
      <c r="E16" s="246" t="s">
        <v>572</v>
      </c>
    </row>
    <row r="17" spans="3:5" ht="15" customHeight="1" x14ac:dyDescent="0.25">
      <c r="C17" s="246" t="s">
        <v>244</v>
      </c>
      <c r="D17" s="246" t="s">
        <v>211</v>
      </c>
      <c r="E17" s="246" t="s">
        <v>574</v>
      </c>
    </row>
    <row r="18" spans="3:5" ht="15" customHeight="1" x14ac:dyDescent="0.25">
      <c r="C18" s="246" t="s">
        <v>245</v>
      </c>
      <c r="D18" s="246" t="s">
        <v>211</v>
      </c>
      <c r="E18" s="246" t="s">
        <v>575</v>
      </c>
    </row>
    <row r="19" spans="3:5" ht="15" customHeight="1" x14ac:dyDescent="0.25">
      <c r="C19" s="246" t="s">
        <v>246</v>
      </c>
      <c r="D19" s="246" t="s">
        <v>211</v>
      </c>
      <c r="E19" s="250">
        <v>46175</v>
      </c>
    </row>
    <row r="20" spans="3:5" ht="15" customHeight="1" x14ac:dyDescent="0.25">
      <c r="C20" s="246" t="s">
        <v>242</v>
      </c>
      <c r="D20" s="246" t="s">
        <v>211</v>
      </c>
      <c r="E20" s="246" t="s">
        <v>571</v>
      </c>
    </row>
    <row r="21" spans="3:5" ht="15" customHeight="1" x14ac:dyDescent="0.25">
      <c r="C21" s="246" t="s">
        <v>247</v>
      </c>
      <c r="D21" s="246" t="s">
        <v>211</v>
      </c>
      <c r="E21" s="250">
        <v>46192</v>
      </c>
    </row>
    <row r="22" spans="3:5" ht="15" customHeight="1" x14ac:dyDescent="0.25">
      <c r="C22" s="246" t="s">
        <v>248</v>
      </c>
      <c r="D22" s="246" t="s">
        <v>211</v>
      </c>
      <c r="E22" s="246" t="s">
        <v>110</v>
      </c>
    </row>
    <row r="23" spans="3:5" ht="15" customHeight="1" x14ac:dyDescent="0.25">
      <c r="C23" s="246" t="s">
        <v>249</v>
      </c>
      <c r="D23" s="246" t="s">
        <v>211</v>
      </c>
      <c r="E23" s="246" t="s">
        <v>576</v>
      </c>
    </row>
    <row r="24" spans="3:5" ht="15" customHeight="1" x14ac:dyDescent="0.25">
      <c r="C24" s="246" t="s">
        <v>250</v>
      </c>
      <c r="D24" s="246" t="s">
        <v>211</v>
      </c>
      <c r="E24" s="251">
        <v>638827.47</v>
      </c>
    </row>
    <row r="25" spans="3:5" ht="15" customHeight="1" x14ac:dyDescent="0.25">
      <c r="C25" s="246" t="s">
        <v>251</v>
      </c>
      <c r="D25" s="246" t="s">
        <v>211</v>
      </c>
      <c r="E25" s="251">
        <v>638827.47</v>
      </c>
    </row>
    <row r="26" spans="3:5" ht="15" customHeight="1" x14ac:dyDescent="0.25">
      <c r="C26" s="246" t="s">
        <v>252</v>
      </c>
      <c r="D26" s="246" t="s">
        <v>211</v>
      </c>
      <c r="E26" s="251">
        <f>+E25</f>
        <v>638827.47</v>
      </c>
    </row>
    <row r="27" spans="3:5" ht="15" customHeight="1" x14ac:dyDescent="0.25">
      <c r="C27" s="246" t="s">
        <v>253</v>
      </c>
      <c r="D27" s="246" t="s">
        <v>211</v>
      </c>
      <c r="E27" s="251" t="s">
        <v>202</v>
      </c>
    </row>
    <row r="28" spans="3:5" ht="15" customHeight="1" x14ac:dyDescent="0.25">
      <c r="C28" s="104" t="s">
        <v>254</v>
      </c>
      <c r="D28" s="246" t="s">
        <v>211</v>
      </c>
      <c r="E28" s="249" t="s">
        <v>108</v>
      </c>
    </row>
    <row r="29" spans="3:5" ht="15" customHeight="1" x14ac:dyDescent="0.25">
      <c r="C29" s="246" t="s">
        <v>255</v>
      </c>
      <c r="D29" s="246" t="s">
        <v>211</v>
      </c>
      <c r="E29" s="251" t="s">
        <v>202</v>
      </c>
    </row>
    <row r="30" spans="3:5" ht="15" customHeight="1" x14ac:dyDescent="0.25">
      <c r="C30" s="104" t="s">
        <v>256</v>
      </c>
      <c r="D30" s="246" t="s">
        <v>211</v>
      </c>
      <c r="E30" s="249" t="s">
        <v>108</v>
      </c>
    </row>
    <row r="31" spans="3:5" ht="15" customHeight="1" x14ac:dyDescent="0.25">
      <c r="C31" s="246" t="s">
        <v>257</v>
      </c>
      <c r="D31" s="246" t="s">
        <v>211</v>
      </c>
      <c r="E31" s="246" t="s">
        <v>203</v>
      </c>
    </row>
    <row r="32" spans="3:5" ht="15" customHeight="1" x14ac:dyDescent="0.25">
      <c r="C32" s="246" t="s">
        <v>258</v>
      </c>
      <c r="D32" s="246" t="s">
        <v>211</v>
      </c>
      <c r="E32" s="246" t="s">
        <v>578</v>
      </c>
    </row>
    <row r="33" spans="3:5" s="247" customFormat="1" ht="15" customHeight="1" x14ac:dyDescent="0.25">
      <c r="C33" s="515" t="s">
        <v>115</v>
      </c>
      <c r="D33" s="515"/>
      <c r="E33" s="515"/>
    </row>
    <row r="34" spans="3:5" ht="15" customHeight="1" x14ac:dyDescent="0.25">
      <c r="C34" s="246" t="s">
        <v>615</v>
      </c>
      <c r="D34" s="246" t="s">
        <v>211</v>
      </c>
      <c r="E34" s="246" t="s">
        <v>624</v>
      </c>
    </row>
    <row r="35" spans="3:5" ht="15" customHeight="1" x14ac:dyDescent="0.25">
      <c r="C35" s="246" t="s">
        <v>616</v>
      </c>
      <c r="D35" s="246" t="s">
        <v>211</v>
      </c>
      <c r="E35" s="246">
        <v>20607943355</v>
      </c>
    </row>
    <row r="36" spans="3:5" ht="15" customHeight="1" x14ac:dyDescent="0.25">
      <c r="C36" s="246" t="s">
        <v>617</v>
      </c>
      <c r="D36" s="246" t="s">
        <v>211</v>
      </c>
      <c r="E36" s="246" t="s">
        <v>625</v>
      </c>
    </row>
    <row r="37" spans="3:5" ht="14.25" customHeight="1" x14ac:dyDescent="0.25">
      <c r="C37" s="246" t="s">
        <v>244</v>
      </c>
      <c r="D37" s="246" t="s">
        <v>211</v>
      </c>
      <c r="E37" s="246" t="s">
        <v>626</v>
      </c>
    </row>
    <row r="38" spans="3:5" ht="15" customHeight="1" x14ac:dyDescent="0.25">
      <c r="C38" s="246" t="s">
        <v>245</v>
      </c>
      <c r="D38" s="246" t="s">
        <v>211</v>
      </c>
      <c r="E38" s="246" t="s">
        <v>618</v>
      </c>
    </row>
    <row r="39" spans="3:5" ht="15" customHeight="1" x14ac:dyDescent="0.25">
      <c r="C39" s="246" t="s">
        <v>619</v>
      </c>
      <c r="D39" s="246" t="s">
        <v>211</v>
      </c>
      <c r="E39" s="250">
        <v>46195</v>
      </c>
    </row>
    <row r="40" spans="3:5" ht="15" customHeight="1" x14ac:dyDescent="0.25">
      <c r="C40" s="246" t="s">
        <v>242</v>
      </c>
      <c r="D40" s="246" t="s">
        <v>211</v>
      </c>
      <c r="E40" s="246" t="s">
        <v>627</v>
      </c>
    </row>
    <row r="41" spans="3:5" ht="15" customHeight="1" x14ac:dyDescent="0.25">
      <c r="C41" s="246" t="s">
        <v>247</v>
      </c>
      <c r="D41" s="246" t="s">
        <v>211</v>
      </c>
      <c r="E41" s="250">
        <v>46205</v>
      </c>
    </row>
    <row r="42" spans="3:5" ht="15" customHeight="1" x14ac:dyDescent="0.25">
      <c r="C42" s="246" t="s">
        <v>620</v>
      </c>
      <c r="D42" s="246" t="s">
        <v>211</v>
      </c>
      <c r="E42" s="251">
        <v>41200</v>
      </c>
    </row>
    <row r="43" spans="3:5" ht="15" customHeight="1" x14ac:dyDescent="0.25">
      <c r="C43" s="246" t="s">
        <v>632</v>
      </c>
      <c r="D43" s="246" t="s">
        <v>211</v>
      </c>
      <c r="E43" s="251">
        <v>41200</v>
      </c>
    </row>
    <row r="44" spans="3:5" ht="15" customHeight="1" x14ac:dyDescent="0.25">
      <c r="C44" s="246" t="s">
        <v>252</v>
      </c>
      <c r="D44" s="246" t="s">
        <v>211</v>
      </c>
      <c r="E44" s="251">
        <f>+E43</f>
        <v>41200</v>
      </c>
    </row>
    <row r="45" spans="3:5" ht="15" customHeight="1" x14ac:dyDescent="0.25">
      <c r="C45" s="246" t="s">
        <v>621</v>
      </c>
      <c r="D45" s="246" t="s">
        <v>211</v>
      </c>
      <c r="E45" s="246" t="s">
        <v>622</v>
      </c>
    </row>
    <row r="46" spans="3:5" ht="15" customHeight="1" x14ac:dyDescent="0.25">
      <c r="C46" s="246" t="s">
        <v>623</v>
      </c>
      <c r="D46" s="246" t="s">
        <v>211</v>
      </c>
      <c r="E46" s="251" t="s">
        <v>629</v>
      </c>
    </row>
    <row r="47" spans="3:5" s="247" customFormat="1" ht="15" customHeight="1" x14ac:dyDescent="0.25">
      <c r="C47" s="515" t="s">
        <v>116</v>
      </c>
      <c r="D47" s="515"/>
      <c r="E47" s="515"/>
    </row>
    <row r="48" spans="3:5" ht="15" customHeight="1" x14ac:dyDescent="0.25">
      <c r="C48" s="246" t="s">
        <v>259</v>
      </c>
      <c r="D48" s="246" t="s">
        <v>211</v>
      </c>
      <c r="E48" s="250">
        <v>46193</v>
      </c>
    </row>
    <row r="49" spans="3:7" ht="15" customHeight="1" x14ac:dyDescent="0.25">
      <c r="C49" s="246" t="s">
        <v>260</v>
      </c>
      <c r="D49" s="246" t="s">
        <v>211</v>
      </c>
      <c r="E49" s="250">
        <v>46193</v>
      </c>
    </row>
    <row r="50" spans="3:7" ht="15" customHeight="1" x14ac:dyDescent="0.25">
      <c r="C50" s="246" t="s">
        <v>261</v>
      </c>
      <c r="D50" s="246" t="s">
        <v>211</v>
      </c>
      <c r="E50" s="252">
        <v>60</v>
      </c>
    </row>
    <row r="51" spans="3:7" ht="15" customHeight="1" x14ac:dyDescent="0.25">
      <c r="C51" s="246" t="s">
        <v>262</v>
      </c>
      <c r="D51" s="246" t="s">
        <v>211</v>
      </c>
      <c r="E51" s="250">
        <f>+E49+E50-1</f>
        <v>46252</v>
      </c>
    </row>
    <row r="52" spans="3:7" ht="15" customHeight="1" x14ac:dyDescent="0.25">
      <c r="C52" s="104" t="s">
        <v>263</v>
      </c>
      <c r="D52" s="246" t="s">
        <v>211</v>
      </c>
      <c r="E52" s="246" t="s">
        <v>108</v>
      </c>
    </row>
    <row r="53" spans="3:7" ht="15" customHeight="1" x14ac:dyDescent="0.25">
      <c r="C53" s="104" t="s">
        <v>264</v>
      </c>
      <c r="D53" s="246" t="s">
        <v>211</v>
      </c>
      <c r="E53" s="246" t="s">
        <v>108</v>
      </c>
    </row>
    <row r="54" spans="3:7" ht="15" customHeight="1" x14ac:dyDescent="0.25">
      <c r="C54" s="246" t="s">
        <v>265</v>
      </c>
      <c r="D54" s="246" t="s">
        <v>211</v>
      </c>
      <c r="E54" s="250" t="s">
        <v>108</v>
      </c>
    </row>
    <row r="55" spans="3:7" s="247" customFormat="1" ht="15" customHeight="1" x14ac:dyDescent="0.25">
      <c r="C55" s="515" t="s">
        <v>210</v>
      </c>
      <c r="D55" s="515"/>
      <c r="E55" s="515"/>
      <c r="G55" s="246"/>
    </row>
    <row r="56" spans="3:7" ht="15" customHeight="1" x14ac:dyDescent="0.25">
      <c r="C56" s="246" t="s">
        <v>266</v>
      </c>
      <c r="D56" s="246" t="s">
        <v>211</v>
      </c>
      <c r="E56" s="246" t="s">
        <v>111</v>
      </c>
    </row>
    <row r="57" spans="3:7" ht="15" customHeight="1" x14ac:dyDescent="0.25">
      <c r="C57" s="246" t="s">
        <v>267</v>
      </c>
      <c r="D57" s="246" t="s">
        <v>211</v>
      </c>
      <c r="E57" s="246" t="s">
        <v>235</v>
      </c>
    </row>
    <row r="58" spans="3:7" ht="15" customHeight="1" x14ac:dyDescent="0.25">
      <c r="C58" s="246" t="s">
        <v>268</v>
      </c>
      <c r="D58" s="246" t="s">
        <v>211</v>
      </c>
      <c r="E58" s="253">
        <f>+'CONTROL GEN. AVAN. OBRA.'!L14</f>
        <v>0.56500000000000006</v>
      </c>
    </row>
    <row r="59" spans="3:7" ht="15" customHeight="1" x14ac:dyDescent="0.25">
      <c r="C59" s="246" t="s">
        <v>269</v>
      </c>
      <c r="D59" s="246" t="s">
        <v>211</v>
      </c>
      <c r="E59" s="253">
        <f>+'CONTROL GEN. AVAN. OBRA.'!N14</f>
        <v>0.97819999999999996</v>
      </c>
    </row>
    <row r="60" spans="3:7" ht="15" customHeight="1" x14ac:dyDescent="0.25">
      <c r="C60" s="246" t="s">
        <v>608</v>
      </c>
      <c r="D60" s="246" t="s">
        <v>211</v>
      </c>
      <c r="E60" s="246" t="s">
        <v>628</v>
      </c>
    </row>
  </sheetData>
  <mergeCells count="6">
    <mergeCell ref="C2:E2"/>
    <mergeCell ref="C55:E55"/>
    <mergeCell ref="C3:E3"/>
    <mergeCell ref="C14:E14"/>
    <mergeCell ref="C33:E33"/>
    <mergeCell ref="C47:E47"/>
  </mergeCells>
  <phoneticPr fontId="12" type="noConversion"/>
  <printOptions horizontalCentered="1"/>
  <pageMargins left="0.78740157480314965" right="0.59055118110236227" top="0.59055118110236227" bottom="0.59055118110236227" header="0.31496062992125984" footer="0.31496062992125984"/>
  <pageSetup paperSize="9" scale="7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11D9-509A-46D2-848B-46E46F6D30CC}">
  <sheetPr>
    <tabColor rgb="FFFF0000"/>
    <pageSetUpPr fitToPage="1"/>
  </sheetPr>
  <dimension ref="B1:N161"/>
  <sheetViews>
    <sheetView view="pageBreakPreview" zoomScale="80" zoomScaleNormal="100" zoomScaleSheetLayoutView="80" workbookViewId="0">
      <selection activeCell="C5" sqref="C5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7.6640625" style="103" customWidth="1"/>
    <col min="3" max="3" width="80.6640625" style="103" customWidth="1"/>
    <col min="4" max="4" width="9.109375" style="122" bestFit="1" customWidth="1"/>
    <col min="5" max="5" width="10.6640625" style="597" customWidth="1"/>
    <col min="6" max="6" width="11.44140625" style="122" bestFit="1" customWidth="1"/>
    <col min="7" max="7" width="16" style="599" bestFit="1" customWidth="1"/>
    <col min="8" max="8" width="1.6640625" style="103" customWidth="1"/>
    <col min="9" max="9" width="11" style="103" bestFit="1" customWidth="1"/>
    <col min="10" max="10" width="13.6640625" style="103" bestFit="1" customWidth="1"/>
    <col min="11" max="11" width="11.33203125" style="104" bestFit="1" customWidth="1"/>
    <col min="12" max="12" width="10.33203125" style="103"/>
    <col min="13" max="13" width="10.109375" style="103" bestFit="1" customWidth="1"/>
    <col min="14" max="16384" width="10.33203125" style="103"/>
  </cols>
  <sheetData>
    <row r="1" spans="2:14" s="105" customFormat="1" ht="30" customHeight="1" thickBot="1" x14ac:dyDescent="0.3">
      <c r="B1" s="603" t="s">
        <v>204</v>
      </c>
      <c r="C1" s="604"/>
      <c r="D1" s="604"/>
      <c r="E1" s="604"/>
      <c r="F1" s="604"/>
      <c r="G1" s="605"/>
      <c r="H1" s="103"/>
      <c r="I1" s="103"/>
      <c r="J1" s="103"/>
      <c r="K1" s="104"/>
      <c r="L1" s="103"/>
      <c r="M1" s="103"/>
      <c r="N1" s="103"/>
    </row>
    <row r="2" spans="2:14" s="105" customFormat="1" ht="30" customHeight="1" x14ac:dyDescent="0.25">
      <c r="B2" s="506" t="str">
        <f>+FT!E20</f>
        <v>CONTRATO DE EJECUCIÓN DE OBRA N°004-2026-MDPM/GM</v>
      </c>
      <c r="C2" s="506"/>
      <c r="D2" s="506"/>
      <c r="E2" s="506"/>
      <c r="F2" s="506"/>
      <c r="G2" s="506"/>
      <c r="H2" s="103"/>
      <c r="I2" s="103"/>
      <c r="J2" s="103"/>
      <c r="K2" s="104"/>
      <c r="L2" s="103"/>
      <c r="M2" s="103"/>
      <c r="N2" s="103"/>
    </row>
    <row r="3" spans="2:14" s="105" customFormat="1" ht="30" customHeight="1" x14ac:dyDescent="0.25">
      <c r="B3" s="188" t="s">
        <v>586</v>
      </c>
      <c r="C3" s="507" t="str">
        <f>+FT!E5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3" s="507"/>
      <c r="E3" s="507"/>
      <c r="F3" s="507"/>
      <c r="G3" s="507"/>
    </row>
    <row r="4" spans="2:14" s="105" customFormat="1" ht="15" customHeight="1" x14ac:dyDescent="0.25">
      <c r="B4" s="236" t="s">
        <v>587</v>
      </c>
      <c r="C4" s="103" t="str">
        <f>+FT!$E$4</f>
        <v>MUNICIPALIDAD DISTRITAL DE PILLCO MARCA</v>
      </c>
      <c r="D4" s="122"/>
      <c r="E4" s="122"/>
      <c r="F4" s="122"/>
      <c r="G4" s="122"/>
    </row>
    <row r="5" spans="2:14" s="105" customFormat="1" ht="15" customHeight="1" x14ac:dyDescent="0.25">
      <c r="B5" s="236" t="s">
        <v>583</v>
      </c>
      <c r="C5" s="103" t="str">
        <f>+FT!$E$15</f>
        <v>CONSORCIO EJECUTOR LOS PINOS</v>
      </c>
      <c r="D5" s="122"/>
      <c r="E5" s="122"/>
      <c r="F5" s="122"/>
      <c r="G5" s="122"/>
    </row>
    <row r="6" spans="2:14" s="105" customFormat="1" ht="15" customHeight="1" x14ac:dyDescent="0.25">
      <c r="B6" s="236" t="s">
        <v>630</v>
      </c>
      <c r="C6" s="103" t="str">
        <f>+FT!$E$34</f>
        <v>PROYECTA PCL S.A.C</v>
      </c>
      <c r="D6" s="122"/>
      <c r="E6" s="122"/>
      <c r="F6" s="122"/>
      <c r="G6" s="122"/>
    </row>
    <row r="7" spans="2:14" s="105" customFormat="1" ht="15" customHeight="1" x14ac:dyDescent="0.25">
      <c r="B7" s="236" t="s">
        <v>588</v>
      </c>
      <c r="C7" s="103" t="str">
        <f>+FT!$E$32</f>
        <v>ING. RAMIREZ BLANCO GABRIEL AUGUSTO HERMOGENES</v>
      </c>
      <c r="D7" s="122"/>
      <c r="E7" s="122"/>
      <c r="F7" s="122"/>
      <c r="G7" s="122"/>
    </row>
    <row r="8" spans="2:14" s="105" customFormat="1" ht="15" customHeight="1" x14ac:dyDescent="0.25">
      <c r="B8" s="236" t="s">
        <v>631</v>
      </c>
      <c r="C8" s="103" t="str">
        <f>+FT!$E$46</f>
        <v>ING. CESAR RICARDO ZELADA RODRIGUEZ (CIP N°
98469)</v>
      </c>
      <c r="D8" s="122"/>
      <c r="E8" s="122"/>
      <c r="F8" s="122"/>
      <c r="G8" s="122"/>
    </row>
    <row r="9" spans="2:14" ht="7.5" customHeight="1" thickBot="1" x14ac:dyDescent="0.3">
      <c r="E9" s="122"/>
      <c r="G9" s="122"/>
    </row>
    <row r="10" spans="2:14" ht="15" customHeight="1" x14ac:dyDescent="0.25">
      <c r="B10" s="608" t="s">
        <v>10</v>
      </c>
      <c r="C10" s="609" t="s">
        <v>16</v>
      </c>
      <c r="D10" s="610" t="s">
        <v>204</v>
      </c>
      <c r="E10" s="610"/>
      <c r="F10" s="610"/>
      <c r="G10" s="611"/>
    </row>
    <row r="11" spans="2:14" ht="15" customHeight="1" thickBot="1" x14ac:dyDescent="0.3">
      <c r="B11" s="612"/>
      <c r="C11" s="613"/>
      <c r="D11" s="614" t="s">
        <v>50</v>
      </c>
      <c r="E11" s="615" t="s">
        <v>1</v>
      </c>
      <c r="F11" s="614" t="s">
        <v>55</v>
      </c>
      <c r="G11" s="616" t="s">
        <v>2</v>
      </c>
    </row>
    <row r="12" spans="2:14" s="107" customFormat="1" ht="15" customHeight="1" x14ac:dyDescent="0.25">
      <c r="B12" s="465" t="s">
        <v>6</v>
      </c>
      <c r="C12" s="466" t="s">
        <v>313</v>
      </c>
      <c r="D12" s="467"/>
      <c r="E12" s="606"/>
      <c r="F12" s="607"/>
      <c r="G12" s="579"/>
      <c r="I12" s="108"/>
      <c r="J12" s="109"/>
      <c r="K12" s="108"/>
      <c r="L12" s="108"/>
    </row>
    <row r="13" spans="2:14" s="110" customFormat="1" ht="15" customHeight="1" x14ac:dyDescent="0.25">
      <c r="B13" s="436" t="s">
        <v>171</v>
      </c>
      <c r="C13" s="415" t="s">
        <v>314</v>
      </c>
      <c r="D13" s="413"/>
      <c r="E13" s="577"/>
      <c r="F13" s="578"/>
      <c r="G13" s="580"/>
      <c r="I13" s="111"/>
      <c r="J13" s="112"/>
      <c r="K13" s="111"/>
      <c r="L13" s="111"/>
    </row>
    <row r="14" spans="2:14" s="113" customFormat="1" ht="15" customHeight="1" x14ac:dyDescent="0.25">
      <c r="B14" s="437" t="s">
        <v>315</v>
      </c>
      <c r="C14" s="416" t="s">
        <v>224</v>
      </c>
      <c r="D14" s="413"/>
      <c r="E14" s="577"/>
      <c r="F14" s="578"/>
      <c r="G14" s="580"/>
      <c r="I14" s="114"/>
      <c r="J14" s="115"/>
      <c r="K14" s="114"/>
      <c r="L14" s="114"/>
    </row>
    <row r="15" spans="2:14" s="104" customFormat="1" ht="15" customHeight="1" x14ac:dyDescent="0.25">
      <c r="B15" s="438" t="s">
        <v>316</v>
      </c>
      <c r="C15" s="417" t="s">
        <v>317</v>
      </c>
      <c r="D15" s="413" t="s">
        <v>318</v>
      </c>
      <c r="E15" s="577">
        <v>2</v>
      </c>
      <c r="F15" s="578">
        <v>2400</v>
      </c>
      <c r="G15" s="580">
        <f>ROUND(E15*F15,2)</f>
        <v>4800</v>
      </c>
      <c r="I15" s="118"/>
      <c r="J15" s="119"/>
      <c r="K15" s="118"/>
      <c r="L15" s="118"/>
    </row>
    <row r="16" spans="2:14" s="104" customFormat="1" ht="15" customHeight="1" x14ac:dyDescent="0.25">
      <c r="B16" s="438" t="s">
        <v>319</v>
      </c>
      <c r="C16" s="418" t="s">
        <v>320</v>
      </c>
      <c r="D16" s="413" t="s">
        <v>233</v>
      </c>
      <c r="E16" s="577">
        <v>1</v>
      </c>
      <c r="F16" s="578">
        <v>1205.49</v>
      </c>
      <c r="G16" s="580">
        <f t="shared" ref="G16:G17" si="0">ROUND(E16*F16,2)</f>
        <v>1205.49</v>
      </c>
      <c r="I16" s="118"/>
      <c r="J16" s="119"/>
      <c r="K16" s="118"/>
      <c r="L16" s="118"/>
    </row>
    <row r="17" spans="2:12" s="104" customFormat="1" ht="15" customHeight="1" x14ac:dyDescent="0.25">
      <c r="B17" s="438" t="s">
        <v>321</v>
      </c>
      <c r="C17" s="417" t="s">
        <v>322</v>
      </c>
      <c r="D17" s="413" t="s">
        <v>318</v>
      </c>
      <c r="E17" s="577">
        <v>2</v>
      </c>
      <c r="F17" s="578">
        <v>850</v>
      </c>
      <c r="G17" s="580">
        <f t="shared" si="0"/>
        <v>1700</v>
      </c>
      <c r="I17" s="118"/>
      <c r="J17" s="119"/>
      <c r="K17" s="118"/>
      <c r="L17" s="118"/>
    </row>
    <row r="18" spans="2:12" s="104" customFormat="1" ht="15" customHeight="1" x14ac:dyDescent="0.25">
      <c r="B18" s="437" t="s">
        <v>323</v>
      </c>
      <c r="C18" s="416" t="s">
        <v>225</v>
      </c>
      <c r="D18" s="419"/>
      <c r="E18" s="581"/>
      <c r="F18" s="582"/>
      <c r="G18" s="580">
        <f>ROUND(E18*F18,2)</f>
        <v>0</v>
      </c>
      <c r="I18" s="118"/>
      <c r="J18" s="119"/>
      <c r="K18" s="118"/>
      <c r="L18" s="118"/>
    </row>
    <row r="19" spans="2:12" s="104" customFormat="1" ht="15" customHeight="1" x14ac:dyDescent="0.25">
      <c r="B19" s="438" t="s">
        <v>324</v>
      </c>
      <c r="C19" s="417" t="s">
        <v>229</v>
      </c>
      <c r="D19" s="413" t="s">
        <v>101</v>
      </c>
      <c r="E19" s="577">
        <v>1932.21</v>
      </c>
      <c r="F19" s="578">
        <v>1.06</v>
      </c>
      <c r="G19" s="580">
        <f t="shared" ref="G19:G24" si="1">ROUND(E19*F19,2)</f>
        <v>2048.14</v>
      </c>
      <c r="I19" s="118"/>
      <c r="J19" s="119"/>
      <c r="K19" s="118"/>
      <c r="L19" s="118"/>
    </row>
    <row r="20" spans="2:12" s="104" customFormat="1" ht="15" customHeight="1" x14ac:dyDescent="0.25">
      <c r="B20" s="438" t="s">
        <v>325</v>
      </c>
      <c r="C20" s="417" t="s">
        <v>230</v>
      </c>
      <c r="D20" s="413" t="s">
        <v>101</v>
      </c>
      <c r="E20" s="577">
        <v>1932.21</v>
      </c>
      <c r="F20" s="578">
        <v>4.32</v>
      </c>
      <c r="G20" s="580">
        <f t="shared" si="1"/>
        <v>8347.15</v>
      </c>
      <c r="I20" s="118"/>
      <c r="J20" s="119"/>
      <c r="K20" s="118"/>
      <c r="L20" s="118"/>
    </row>
    <row r="21" spans="2:12" s="104" customFormat="1" ht="15" customHeight="1" x14ac:dyDescent="0.25">
      <c r="B21" s="438" t="s">
        <v>326</v>
      </c>
      <c r="C21" s="417" t="s">
        <v>577</v>
      </c>
      <c r="D21" s="413" t="s">
        <v>5</v>
      </c>
      <c r="E21" s="577">
        <v>1</v>
      </c>
      <c r="F21" s="578">
        <v>2500</v>
      </c>
      <c r="G21" s="580">
        <f t="shared" si="1"/>
        <v>2500</v>
      </c>
      <c r="I21" s="118"/>
      <c r="J21" s="119"/>
      <c r="K21" s="118"/>
      <c r="L21" s="118"/>
    </row>
    <row r="22" spans="2:12" s="104" customFormat="1" ht="15" customHeight="1" x14ac:dyDescent="0.25">
      <c r="B22" s="437" t="s">
        <v>328</v>
      </c>
      <c r="C22" s="416" t="s">
        <v>329</v>
      </c>
      <c r="D22" s="419"/>
      <c r="E22" s="581"/>
      <c r="F22" s="582"/>
      <c r="G22" s="580">
        <f t="shared" si="1"/>
        <v>0</v>
      </c>
      <c r="I22" s="118"/>
      <c r="J22" s="119"/>
      <c r="K22" s="118"/>
      <c r="L22" s="118"/>
    </row>
    <row r="23" spans="2:12" s="104" customFormat="1" ht="15" customHeight="1" x14ac:dyDescent="0.25">
      <c r="B23" s="438" t="s">
        <v>330</v>
      </c>
      <c r="C23" s="417" t="s">
        <v>331</v>
      </c>
      <c r="D23" s="413" t="s">
        <v>101</v>
      </c>
      <c r="E23" s="577">
        <v>135.5</v>
      </c>
      <c r="F23" s="578">
        <v>21.33</v>
      </c>
      <c r="G23" s="580">
        <f t="shared" si="1"/>
        <v>2890.22</v>
      </c>
      <c r="I23" s="118"/>
      <c r="J23" s="119"/>
      <c r="K23" s="118"/>
      <c r="L23" s="118"/>
    </row>
    <row r="24" spans="2:12" s="129" customFormat="1" ht="15" customHeight="1" x14ac:dyDescent="0.25">
      <c r="B24" s="438" t="s">
        <v>332</v>
      </c>
      <c r="C24" s="418" t="s">
        <v>333</v>
      </c>
      <c r="D24" s="413" t="s">
        <v>234</v>
      </c>
      <c r="E24" s="577">
        <v>20.329999999999998</v>
      </c>
      <c r="F24" s="578">
        <v>18.98</v>
      </c>
      <c r="G24" s="580">
        <f t="shared" si="1"/>
        <v>385.86</v>
      </c>
      <c r="I24" s="130"/>
      <c r="J24" s="131"/>
      <c r="K24" s="130"/>
      <c r="L24" s="130"/>
    </row>
    <row r="25" spans="2:12" s="104" customFormat="1" ht="15" customHeight="1" x14ac:dyDescent="0.25">
      <c r="B25" s="437" t="s">
        <v>334</v>
      </c>
      <c r="C25" s="416" t="s">
        <v>335</v>
      </c>
      <c r="D25" s="419"/>
      <c r="E25" s="581"/>
      <c r="F25" s="582"/>
      <c r="G25" s="580"/>
      <c r="I25" s="118"/>
      <c r="J25" s="119"/>
      <c r="K25" s="118"/>
      <c r="L25" s="118"/>
    </row>
    <row r="26" spans="2:12" s="104" customFormat="1" ht="15" customHeight="1" x14ac:dyDescent="0.25">
      <c r="B26" s="438" t="s">
        <v>336</v>
      </c>
      <c r="C26" s="417" t="s">
        <v>337</v>
      </c>
      <c r="D26" s="413" t="s">
        <v>233</v>
      </c>
      <c r="E26" s="577">
        <v>2</v>
      </c>
      <c r="F26" s="578">
        <v>221.35</v>
      </c>
      <c r="G26" s="580">
        <f t="shared" ref="G26:G28" si="2">ROUND(E26*F26,2)</f>
        <v>442.7</v>
      </c>
      <c r="I26" s="118"/>
      <c r="J26" s="119"/>
      <c r="K26" s="118"/>
      <c r="L26" s="118"/>
    </row>
    <row r="27" spans="2:12" s="129" customFormat="1" ht="15" customHeight="1" x14ac:dyDescent="0.25">
      <c r="B27" s="438" t="s">
        <v>338</v>
      </c>
      <c r="C27" s="418" t="s">
        <v>339</v>
      </c>
      <c r="D27" s="413" t="s">
        <v>5</v>
      </c>
      <c r="E27" s="577">
        <v>1</v>
      </c>
      <c r="F27" s="578">
        <v>221.16</v>
      </c>
      <c r="G27" s="580">
        <f t="shared" si="2"/>
        <v>221.16</v>
      </c>
      <c r="I27" s="130"/>
      <c r="J27" s="131"/>
      <c r="K27" s="130"/>
      <c r="L27" s="130"/>
    </row>
    <row r="28" spans="2:12" s="129" customFormat="1" ht="15" customHeight="1" x14ac:dyDescent="0.25">
      <c r="B28" s="436" t="s">
        <v>340</v>
      </c>
      <c r="C28" s="415" t="s">
        <v>341</v>
      </c>
      <c r="D28" s="421"/>
      <c r="E28" s="583"/>
      <c r="F28" s="584"/>
      <c r="G28" s="580">
        <f t="shared" si="2"/>
        <v>0</v>
      </c>
      <c r="I28" s="130"/>
      <c r="J28" s="131"/>
      <c r="K28" s="130"/>
      <c r="L28" s="130"/>
    </row>
    <row r="29" spans="2:12" s="129" customFormat="1" ht="15" customHeight="1" x14ac:dyDescent="0.25">
      <c r="B29" s="437" t="s">
        <v>342</v>
      </c>
      <c r="C29" s="416" t="s">
        <v>343</v>
      </c>
      <c r="D29" s="419"/>
      <c r="E29" s="581"/>
      <c r="F29" s="582"/>
      <c r="G29" s="585"/>
      <c r="I29" s="130"/>
      <c r="J29" s="131"/>
      <c r="K29" s="130"/>
      <c r="L29" s="130"/>
    </row>
    <row r="30" spans="2:12" s="129" customFormat="1" ht="15" customHeight="1" x14ac:dyDescent="0.25">
      <c r="B30" s="438" t="s">
        <v>344</v>
      </c>
      <c r="C30" s="417" t="s">
        <v>345</v>
      </c>
      <c r="D30" s="413" t="s">
        <v>234</v>
      </c>
      <c r="E30" s="577">
        <v>590.54</v>
      </c>
      <c r="F30" s="578">
        <v>10.47</v>
      </c>
      <c r="G30" s="580">
        <f t="shared" ref="G30:G33" si="3">ROUND(E30*F30,2)</f>
        <v>6182.95</v>
      </c>
      <c r="I30" s="130"/>
      <c r="J30" s="131"/>
      <c r="K30" s="130"/>
      <c r="L30" s="130"/>
    </row>
    <row r="31" spans="2:12" s="129" customFormat="1" ht="15" customHeight="1" x14ac:dyDescent="0.25">
      <c r="B31" s="438" t="s">
        <v>346</v>
      </c>
      <c r="C31" s="417" t="s">
        <v>347</v>
      </c>
      <c r="D31" s="413" t="s">
        <v>234</v>
      </c>
      <c r="E31" s="577">
        <v>51.64</v>
      </c>
      <c r="F31" s="578">
        <v>19.04</v>
      </c>
      <c r="G31" s="580">
        <f t="shared" si="3"/>
        <v>983.23</v>
      </c>
      <c r="I31" s="130"/>
      <c r="J31" s="131"/>
      <c r="K31" s="130"/>
      <c r="L31" s="130"/>
    </row>
    <row r="32" spans="2:12" s="129" customFormat="1" ht="15" customHeight="1" x14ac:dyDescent="0.25">
      <c r="B32" s="438" t="s">
        <v>348</v>
      </c>
      <c r="C32" s="418" t="s">
        <v>349</v>
      </c>
      <c r="D32" s="413" t="s">
        <v>234</v>
      </c>
      <c r="E32" s="577">
        <v>738.18</v>
      </c>
      <c r="F32" s="578">
        <v>18.98</v>
      </c>
      <c r="G32" s="580">
        <f t="shared" si="3"/>
        <v>14010.66</v>
      </c>
      <c r="I32" s="130"/>
      <c r="J32" s="131"/>
      <c r="K32" s="130"/>
      <c r="L32" s="130"/>
    </row>
    <row r="33" spans="2:12" s="129" customFormat="1" ht="15" customHeight="1" x14ac:dyDescent="0.25">
      <c r="B33" s="437" t="s">
        <v>350</v>
      </c>
      <c r="C33" s="416" t="s">
        <v>351</v>
      </c>
      <c r="D33" s="419"/>
      <c r="E33" s="581"/>
      <c r="F33" s="582"/>
      <c r="G33" s="580">
        <f t="shared" si="3"/>
        <v>0</v>
      </c>
      <c r="I33" s="130"/>
      <c r="J33" s="131"/>
      <c r="K33" s="130"/>
      <c r="L33" s="130"/>
    </row>
    <row r="34" spans="2:12" s="129" customFormat="1" ht="15" customHeight="1" x14ac:dyDescent="0.25">
      <c r="B34" s="438" t="s">
        <v>352</v>
      </c>
      <c r="C34" s="417" t="s">
        <v>353</v>
      </c>
      <c r="D34" s="413" t="s">
        <v>101</v>
      </c>
      <c r="E34" s="577">
        <v>910.14</v>
      </c>
      <c r="F34" s="578">
        <v>31.15</v>
      </c>
      <c r="G34" s="580">
        <f>ROUND(E34*F34,2)</f>
        <v>28350.86</v>
      </c>
      <c r="I34" s="130"/>
      <c r="J34" s="131"/>
      <c r="K34" s="130"/>
      <c r="L34" s="130"/>
    </row>
    <row r="35" spans="2:12" s="129" customFormat="1" ht="15" customHeight="1" x14ac:dyDescent="0.25">
      <c r="B35" s="437" t="s">
        <v>354</v>
      </c>
      <c r="C35" s="416" t="s">
        <v>355</v>
      </c>
      <c r="D35" s="419"/>
      <c r="E35" s="581"/>
      <c r="F35" s="582"/>
      <c r="G35" s="580">
        <f>ROUND(E35*F35,2)</f>
        <v>0</v>
      </c>
      <c r="I35" s="130"/>
      <c r="J35" s="131"/>
      <c r="K35" s="130"/>
      <c r="L35" s="130"/>
    </row>
    <row r="36" spans="2:12" s="129" customFormat="1" ht="15" customHeight="1" x14ac:dyDescent="0.25">
      <c r="B36" s="438" t="s">
        <v>356</v>
      </c>
      <c r="C36" s="417" t="s">
        <v>357</v>
      </c>
      <c r="D36" s="413" t="s">
        <v>101</v>
      </c>
      <c r="E36" s="577">
        <v>910.14</v>
      </c>
      <c r="F36" s="578">
        <v>5.54</v>
      </c>
      <c r="G36" s="580">
        <f>ROUND(E36*F36,2)</f>
        <v>5042.18</v>
      </c>
      <c r="I36" s="130"/>
      <c r="J36" s="131"/>
      <c r="K36" s="130"/>
      <c r="L36" s="130"/>
    </row>
    <row r="37" spans="2:12" s="129" customFormat="1" ht="15" customHeight="1" x14ac:dyDescent="0.25">
      <c r="B37" s="437" t="s">
        <v>358</v>
      </c>
      <c r="C37" s="416" t="s">
        <v>359</v>
      </c>
      <c r="D37" s="419"/>
      <c r="E37" s="581"/>
      <c r="F37" s="582"/>
      <c r="G37" s="580">
        <f t="shared" ref="G37:G45" si="4">ROUND(E37*F37,2)</f>
        <v>0</v>
      </c>
      <c r="I37" s="130"/>
      <c r="J37" s="131"/>
      <c r="K37" s="130"/>
      <c r="L37" s="130"/>
    </row>
    <row r="38" spans="2:12" s="129" customFormat="1" ht="15" customHeight="1" x14ac:dyDescent="0.25">
      <c r="B38" s="438" t="s">
        <v>360</v>
      </c>
      <c r="C38" s="417" t="s">
        <v>361</v>
      </c>
      <c r="D38" s="413" t="s">
        <v>101</v>
      </c>
      <c r="E38" s="577">
        <v>127.29</v>
      </c>
      <c r="F38" s="578">
        <v>63.41</v>
      </c>
      <c r="G38" s="580">
        <f t="shared" si="4"/>
        <v>8071.46</v>
      </c>
      <c r="I38" s="130"/>
      <c r="J38" s="131"/>
      <c r="K38" s="130"/>
      <c r="L38" s="130"/>
    </row>
    <row r="39" spans="2:12" s="129" customFormat="1" ht="15" customHeight="1" x14ac:dyDescent="0.25">
      <c r="B39" s="438" t="s">
        <v>362</v>
      </c>
      <c r="C39" s="417" t="s">
        <v>363</v>
      </c>
      <c r="D39" s="413" t="s">
        <v>101</v>
      </c>
      <c r="E39" s="577">
        <v>910.14</v>
      </c>
      <c r="F39" s="578">
        <v>119.99</v>
      </c>
      <c r="G39" s="580">
        <f t="shared" si="4"/>
        <v>109207.7</v>
      </c>
      <c r="I39" s="130"/>
      <c r="J39" s="131"/>
      <c r="K39" s="130"/>
      <c r="L39" s="130"/>
    </row>
    <row r="40" spans="2:12" s="129" customFormat="1" ht="15" customHeight="1" x14ac:dyDescent="0.25">
      <c r="B40" s="438" t="s">
        <v>364</v>
      </c>
      <c r="C40" s="417" t="s">
        <v>365</v>
      </c>
      <c r="D40" s="413" t="s">
        <v>101</v>
      </c>
      <c r="E40" s="577">
        <v>910.14</v>
      </c>
      <c r="F40" s="578">
        <v>2.92</v>
      </c>
      <c r="G40" s="580">
        <f t="shared" si="4"/>
        <v>2657.61</v>
      </c>
      <c r="I40" s="130"/>
      <c r="J40" s="131"/>
      <c r="K40" s="130"/>
      <c r="L40" s="130"/>
    </row>
    <row r="41" spans="2:12" s="129" customFormat="1" ht="15" customHeight="1" x14ac:dyDescent="0.25">
      <c r="B41" s="438" t="s">
        <v>366</v>
      </c>
      <c r="C41" s="418" t="s">
        <v>367</v>
      </c>
      <c r="D41" s="413" t="s">
        <v>102</v>
      </c>
      <c r="E41" s="577">
        <v>80.64</v>
      </c>
      <c r="F41" s="578">
        <v>12.14</v>
      </c>
      <c r="G41" s="580">
        <f t="shared" si="4"/>
        <v>978.97</v>
      </c>
      <c r="I41" s="130"/>
      <c r="J41" s="131"/>
      <c r="K41" s="130"/>
      <c r="L41" s="130"/>
    </row>
    <row r="42" spans="2:12" s="129" customFormat="1" ht="15" customHeight="1" x14ac:dyDescent="0.25">
      <c r="B42" s="438" t="s">
        <v>368</v>
      </c>
      <c r="C42" s="418" t="s">
        <v>369</v>
      </c>
      <c r="D42" s="413" t="s">
        <v>102</v>
      </c>
      <c r="E42" s="577">
        <v>176.4</v>
      </c>
      <c r="F42" s="578">
        <v>42.88</v>
      </c>
      <c r="G42" s="580">
        <f t="shared" si="4"/>
        <v>7564.03</v>
      </c>
      <c r="I42" s="130"/>
      <c r="J42" s="131"/>
      <c r="K42" s="130"/>
      <c r="L42" s="130"/>
    </row>
    <row r="43" spans="2:12" s="129" customFormat="1" ht="15" customHeight="1" x14ac:dyDescent="0.25">
      <c r="B43" s="438" t="s">
        <v>370</v>
      </c>
      <c r="C43" s="417" t="s">
        <v>371</v>
      </c>
      <c r="D43" s="413" t="s">
        <v>145</v>
      </c>
      <c r="E43" s="577">
        <v>360</v>
      </c>
      <c r="F43" s="578">
        <v>5.59</v>
      </c>
      <c r="G43" s="580">
        <f t="shared" si="4"/>
        <v>2012.4</v>
      </c>
      <c r="I43" s="130"/>
      <c r="J43" s="131"/>
      <c r="K43" s="130"/>
      <c r="L43" s="130"/>
    </row>
    <row r="44" spans="2:12" s="129" customFormat="1" ht="15" customHeight="1" x14ac:dyDescent="0.25">
      <c r="B44" s="438" t="s">
        <v>372</v>
      </c>
      <c r="C44" s="417" t="s">
        <v>373</v>
      </c>
      <c r="D44" s="413" t="s">
        <v>145</v>
      </c>
      <c r="E44" s="577">
        <v>255</v>
      </c>
      <c r="F44" s="578">
        <v>5.59</v>
      </c>
      <c r="G44" s="580">
        <f t="shared" si="4"/>
        <v>1425.45</v>
      </c>
      <c r="I44" s="130"/>
      <c r="J44" s="131"/>
      <c r="K44" s="130"/>
      <c r="L44" s="130"/>
    </row>
    <row r="45" spans="2:12" s="129" customFormat="1" ht="15" customHeight="1" x14ac:dyDescent="0.25">
      <c r="B45" s="438" t="s">
        <v>374</v>
      </c>
      <c r="C45" s="418" t="s">
        <v>375</v>
      </c>
      <c r="D45" s="413" t="s">
        <v>145</v>
      </c>
      <c r="E45" s="577">
        <v>150</v>
      </c>
      <c r="F45" s="578">
        <v>19.22</v>
      </c>
      <c r="G45" s="580">
        <f t="shared" si="4"/>
        <v>2883</v>
      </c>
      <c r="I45" s="130"/>
      <c r="J45" s="131"/>
      <c r="K45" s="130"/>
      <c r="L45" s="130"/>
    </row>
    <row r="46" spans="2:12" s="129" customFormat="1" ht="15" customHeight="1" x14ac:dyDescent="0.25">
      <c r="B46" s="437" t="s">
        <v>376</v>
      </c>
      <c r="C46" s="416" t="s">
        <v>377</v>
      </c>
      <c r="D46" s="419"/>
      <c r="E46" s="581"/>
      <c r="F46" s="582"/>
      <c r="G46" s="580">
        <f>ROUND(E46*F46,2)</f>
        <v>0</v>
      </c>
      <c r="I46" s="130"/>
      <c r="J46" s="131"/>
      <c r="K46" s="130"/>
      <c r="L46" s="130"/>
    </row>
    <row r="47" spans="2:12" s="129" customFormat="1" ht="15" customHeight="1" x14ac:dyDescent="0.25">
      <c r="B47" s="438" t="s">
        <v>378</v>
      </c>
      <c r="C47" s="417" t="s">
        <v>379</v>
      </c>
      <c r="D47" s="413" t="s">
        <v>233</v>
      </c>
      <c r="E47" s="577">
        <v>3</v>
      </c>
      <c r="F47" s="578">
        <v>471.14</v>
      </c>
      <c r="G47" s="580">
        <f>ROUND(E47*F47,2)</f>
        <v>1413.42</v>
      </c>
      <c r="I47" s="130"/>
      <c r="J47" s="131"/>
      <c r="K47" s="130"/>
      <c r="L47" s="130"/>
    </row>
    <row r="48" spans="2:12" s="129" customFormat="1" ht="15" customHeight="1" x14ac:dyDescent="0.25">
      <c r="B48" s="437" t="s">
        <v>380</v>
      </c>
      <c r="C48" s="416" t="s">
        <v>381</v>
      </c>
      <c r="D48" s="419"/>
      <c r="E48" s="581"/>
      <c r="F48" s="582"/>
      <c r="G48" s="580">
        <f t="shared" ref="G48:G52" si="5">ROUND(E48*F48,2)</f>
        <v>0</v>
      </c>
      <c r="I48" s="130"/>
      <c r="J48" s="131"/>
      <c r="K48" s="130"/>
      <c r="L48" s="130"/>
    </row>
    <row r="49" spans="2:12" s="129" customFormat="1" ht="15" customHeight="1" x14ac:dyDescent="0.25">
      <c r="B49" s="438" t="s">
        <v>382</v>
      </c>
      <c r="C49" s="417" t="s">
        <v>383</v>
      </c>
      <c r="D49" s="413" t="s">
        <v>101</v>
      </c>
      <c r="E49" s="577">
        <v>50.6</v>
      </c>
      <c r="F49" s="578">
        <v>38.21</v>
      </c>
      <c r="G49" s="580">
        <f t="shared" si="5"/>
        <v>1933.43</v>
      </c>
      <c r="I49" s="130"/>
      <c r="J49" s="131"/>
      <c r="K49" s="130"/>
      <c r="L49" s="130"/>
    </row>
    <row r="50" spans="2:12" s="129" customFormat="1" ht="15" customHeight="1" x14ac:dyDescent="0.25">
      <c r="B50" s="438" t="s">
        <v>384</v>
      </c>
      <c r="C50" s="417" t="s">
        <v>385</v>
      </c>
      <c r="D50" s="413" t="s">
        <v>145</v>
      </c>
      <c r="E50" s="577">
        <v>170</v>
      </c>
      <c r="F50" s="578">
        <v>10.43</v>
      </c>
      <c r="G50" s="580">
        <f t="shared" si="5"/>
        <v>1773.1</v>
      </c>
      <c r="I50" s="130"/>
      <c r="J50" s="131"/>
      <c r="K50" s="130"/>
      <c r="L50" s="130"/>
    </row>
    <row r="51" spans="2:12" s="129" customFormat="1" ht="15" customHeight="1" x14ac:dyDescent="0.25">
      <c r="B51" s="438" t="s">
        <v>386</v>
      </c>
      <c r="C51" s="417" t="s">
        <v>387</v>
      </c>
      <c r="D51" s="413" t="s">
        <v>233</v>
      </c>
      <c r="E51" s="577">
        <v>4</v>
      </c>
      <c r="F51" s="578">
        <v>361.47</v>
      </c>
      <c r="G51" s="580">
        <f t="shared" si="5"/>
        <v>1445.88</v>
      </c>
      <c r="I51" s="130"/>
      <c r="J51" s="131"/>
      <c r="K51" s="130"/>
      <c r="L51" s="130"/>
    </row>
    <row r="52" spans="2:12" s="129" customFormat="1" ht="15" customHeight="1" x14ac:dyDescent="0.25">
      <c r="B52" s="436" t="s">
        <v>388</v>
      </c>
      <c r="C52" s="415" t="s">
        <v>389</v>
      </c>
      <c r="D52" s="421"/>
      <c r="E52" s="583"/>
      <c r="F52" s="584"/>
      <c r="G52" s="580">
        <f t="shared" si="5"/>
        <v>0</v>
      </c>
      <c r="I52" s="130"/>
      <c r="J52" s="131"/>
      <c r="K52" s="130"/>
      <c r="L52" s="130"/>
    </row>
    <row r="53" spans="2:12" s="129" customFormat="1" ht="15" customHeight="1" x14ac:dyDescent="0.25">
      <c r="B53" s="437" t="s">
        <v>390</v>
      </c>
      <c r="C53" s="416" t="s">
        <v>343</v>
      </c>
      <c r="D53" s="419"/>
      <c r="E53" s="581"/>
      <c r="F53" s="582"/>
      <c r="G53" s="585"/>
      <c r="I53" s="130"/>
      <c r="J53" s="131"/>
      <c r="K53" s="130"/>
      <c r="L53" s="130"/>
    </row>
    <row r="54" spans="2:12" s="129" customFormat="1" ht="15" customHeight="1" x14ac:dyDescent="0.25">
      <c r="B54" s="438" t="s">
        <v>391</v>
      </c>
      <c r="C54" s="417" t="s">
        <v>392</v>
      </c>
      <c r="D54" s="413" t="s">
        <v>234</v>
      </c>
      <c r="E54" s="577">
        <v>56.3</v>
      </c>
      <c r="F54" s="578">
        <v>22.11</v>
      </c>
      <c r="G54" s="580">
        <f t="shared" ref="G54:G58" si="6">ROUND(E54*F54,2)</f>
        <v>1244.79</v>
      </c>
      <c r="I54" s="130"/>
      <c r="J54" s="131"/>
      <c r="K54" s="130"/>
      <c r="L54" s="130"/>
    </row>
    <row r="55" spans="2:12" s="129" customFormat="1" ht="15" customHeight="1" x14ac:dyDescent="0.25">
      <c r="B55" s="438" t="s">
        <v>393</v>
      </c>
      <c r="C55" s="417" t="s">
        <v>394</v>
      </c>
      <c r="D55" s="423" t="s">
        <v>234</v>
      </c>
      <c r="E55" s="586">
        <v>12</v>
      </c>
      <c r="F55" s="587">
        <v>42.31</v>
      </c>
      <c r="G55" s="580">
        <f t="shared" si="6"/>
        <v>507.72</v>
      </c>
      <c r="I55" s="130"/>
      <c r="J55" s="131"/>
      <c r="K55" s="130"/>
      <c r="L55" s="130"/>
    </row>
    <row r="56" spans="2:12" s="129" customFormat="1" ht="15" customHeight="1" x14ac:dyDescent="0.25">
      <c r="B56" s="438" t="s">
        <v>395</v>
      </c>
      <c r="C56" s="418" t="s">
        <v>349</v>
      </c>
      <c r="D56" s="413" t="s">
        <v>234</v>
      </c>
      <c r="E56" s="577">
        <v>55.38</v>
      </c>
      <c r="F56" s="578">
        <v>18.98</v>
      </c>
      <c r="G56" s="580">
        <f t="shared" si="6"/>
        <v>1051.1099999999999</v>
      </c>
      <c r="I56" s="130"/>
      <c r="J56" s="131"/>
      <c r="K56" s="130"/>
      <c r="L56" s="130"/>
    </row>
    <row r="57" spans="2:12" s="129" customFormat="1" ht="15" customHeight="1" x14ac:dyDescent="0.25">
      <c r="B57" s="438" t="s">
        <v>396</v>
      </c>
      <c r="C57" s="417" t="s">
        <v>397</v>
      </c>
      <c r="D57" s="413" t="s">
        <v>101</v>
      </c>
      <c r="E57" s="577">
        <v>547.38</v>
      </c>
      <c r="F57" s="578">
        <v>4.25</v>
      </c>
      <c r="G57" s="580">
        <f t="shared" si="6"/>
        <v>2326.37</v>
      </c>
      <c r="I57" s="130"/>
      <c r="J57" s="131"/>
      <c r="K57" s="130"/>
      <c r="L57" s="130"/>
    </row>
    <row r="58" spans="2:12" s="129" customFormat="1" ht="15" customHeight="1" x14ac:dyDescent="0.25">
      <c r="B58" s="438" t="s">
        <v>398</v>
      </c>
      <c r="C58" s="418" t="s">
        <v>399</v>
      </c>
      <c r="D58" s="413" t="s">
        <v>101</v>
      </c>
      <c r="E58" s="577">
        <v>547.38</v>
      </c>
      <c r="F58" s="578">
        <v>16.02</v>
      </c>
      <c r="G58" s="580">
        <f t="shared" si="6"/>
        <v>8769.0300000000007</v>
      </c>
      <c r="I58" s="130"/>
      <c r="J58" s="131"/>
      <c r="K58" s="130"/>
      <c r="L58" s="130"/>
    </row>
    <row r="59" spans="2:12" s="129" customFormat="1" ht="15" customHeight="1" x14ac:dyDescent="0.25">
      <c r="B59" s="437" t="s">
        <v>400</v>
      </c>
      <c r="C59" s="416" t="s">
        <v>401</v>
      </c>
      <c r="D59" s="419"/>
      <c r="E59" s="581"/>
      <c r="F59" s="582"/>
      <c r="G59" s="580">
        <f>ROUND(E59*F59,2)</f>
        <v>0</v>
      </c>
      <c r="I59" s="130"/>
      <c r="J59" s="131"/>
      <c r="K59" s="130"/>
      <c r="L59" s="130"/>
    </row>
    <row r="60" spans="2:12" s="129" customFormat="1" ht="15" customHeight="1" x14ac:dyDescent="0.25">
      <c r="B60" s="438" t="s">
        <v>402</v>
      </c>
      <c r="C60" s="417" t="s">
        <v>403</v>
      </c>
      <c r="D60" s="413" t="s">
        <v>101</v>
      </c>
      <c r="E60" s="577">
        <v>55.28</v>
      </c>
      <c r="F60" s="578">
        <v>72.37</v>
      </c>
      <c r="G60" s="580">
        <f t="shared" ref="G60:G69" si="7">ROUND(E60*F60,2)</f>
        <v>4000.61</v>
      </c>
      <c r="I60" s="130"/>
      <c r="J60" s="131"/>
      <c r="K60" s="130"/>
      <c r="L60" s="130"/>
    </row>
    <row r="61" spans="2:12" s="129" customFormat="1" ht="15" customHeight="1" x14ac:dyDescent="0.25">
      <c r="B61" s="438" t="s">
        <v>404</v>
      </c>
      <c r="C61" s="418" t="s">
        <v>405</v>
      </c>
      <c r="D61" s="413" t="s">
        <v>101</v>
      </c>
      <c r="E61" s="577">
        <v>547.38</v>
      </c>
      <c r="F61" s="578">
        <v>49.11</v>
      </c>
      <c r="G61" s="580">
        <f t="shared" si="7"/>
        <v>26881.83</v>
      </c>
      <c r="I61" s="130"/>
      <c r="J61" s="131"/>
      <c r="K61" s="130"/>
      <c r="L61" s="130"/>
    </row>
    <row r="62" spans="2:12" s="129" customFormat="1" ht="15" customHeight="1" x14ac:dyDescent="0.25">
      <c r="B62" s="438" t="s">
        <v>406</v>
      </c>
      <c r="C62" s="417" t="s">
        <v>407</v>
      </c>
      <c r="D62" s="413" t="s">
        <v>145</v>
      </c>
      <c r="E62" s="577">
        <v>404</v>
      </c>
      <c r="F62" s="578">
        <v>16.32</v>
      </c>
      <c r="G62" s="580">
        <f t="shared" si="7"/>
        <v>6593.28</v>
      </c>
      <c r="I62" s="130"/>
      <c r="J62" s="131"/>
      <c r="K62" s="130"/>
      <c r="L62" s="130"/>
    </row>
    <row r="63" spans="2:12" s="129" customFormat="1" ht="15" customHeight="1" x14ac:dyDescent="0.25">
      <c r="B63" s="438" t="s">
        <v>408</v>
      </c>
      <c r="C63" s="417" t="s">
        <v>409</v>
      </c>
      <c r="D63" s="413"/>
      <c r="E63" s="577">
        <v>547.38</v>
      </c>
      <c r="F63" s="578">
        <v>2.92</v>
      </c>
      <c r="G63" s="580">
        <f t="shared" si="7"/>
        <v>1598.35</v>
      </c>
      <c r="I63" s="130"/>
      <c r="J63" s="131"/>
      <c r="K63" s="130"/>
      <c r="L63" s="130"/>
    </row>
    <row r="64" spans="2:12" s="129" customFormat="1" ht="15" customHeight="1" x14ac:dyDescent="0.25">
      <c r="B64" s="438" t="s">
        <v>410</v>
      </c>
      <c r="C64" s="417" t="s">
        <v>411</v>
      </c>
      <c r="D64" s="413" t="s">
        <v>145</v>
      </c>
      <c r="E64" s="577">
        <v>158.4</v>
      </c>
      <c r="F64" s="578">
        <v>4.4800000000000004</v>
      </c>
      <c r="G64" s="580">
        <f t="shared" si="7"/>
        <v>709.63</v>
      </c>
      <c r="I64" s="130"/>
      <c r="J64" s="131"/>
      <c r="K64" s="130"/>
      <c r="L64" s="130"/>
    </row>
    <row r="65" spans="2:12" s="129" customFormat="1" ht="15" customHeight="1" x14ac:dyDescent="0.25">
      <c r="B65" s="437" t="s">
        <v>412</v>
      </c>
      <c r="C65" s="416" t="s">
        <v>413</v>
      </c>
      <c r="D65" s="419"/>
      <c r="E65" s="581"/>
      <c r="F65" s="582"/>
      <c r="G65" s="580">
        <f t="shared" si="7"/>
        <v>0</v>
      </c>
      <c r="I65" s="130"/>
      <c r="J65" s="131"/>
      <c r="K65" s="130"/>
      <c r="L65" s="130"/>
    </row>
    <row r="66" spans="2:12" s="129" customFormat="1" ht="15" customHeight="1" x14ac:dyDescent="0.25">
      <c r="B66" s="438" t="s">
        <v>414</v>
      </c>
      <c r="C66" s="417" t="s">
        <v>415</v>
      </c>
      <c r="D66" s="413" t="s">
        <v>101</v>
      </c>
      <c r="E66" s="577">
        <v>16.25</v>
      </c>
      <c r="F66" s="578">
        <v>46.94</v>
      </c>
      <c r="G66" s="580">
        <f t="shared" si="7"/>
        <v>762.78</v>
      </c>
      <c r="I66" s="130"/>
      <c r="J66" s="131"/>
      <c r="K66" s="130"/>
      <c r="L66" s="130"/>
    </row>
    <row r="67" spans="2:12" s="129" customFormat="1" ht="15" customHeight="1" x14ac:dyDescent="0.25">
      <c r="B67" s="438" t="s">
        <v>416</v>
      </c>
      <c r="C67" s="417" t="s">
        <v>417</v>
      </c>
      <c r="D67" s="413" t="s">
        <v>101</v>
      </c>
      <c r="E67" s="577">
        <v>86.65</v>
      </c>
      <c r="F67" s="578">
        <v>53.06</v>
      </c>
      <c r="G67" s="580">
        <f t="shared" si="7"/>
        <v>4597.6499999999996</v>
      </c>
      <c r="I67" s="130"/>
      <c r="J67" s="131"/>
      <c r="K67" s="130"/>
      <c r="L67" s="130"/>
    </row>
    <row r="68" spans="2:12" s="129" customFormat="1" ht="15" customHeight="1" x14ac:dyDescent="0.25">
      <c r="B68" s="438" t="s">
        <v>418</v>
      </c>
      <c r="C68" s="417" t="s">
        <v>419</v>
      </c>
      <c r="D68" s="413" t="s">
        <v>101</v>
      </c>
      <c r="E68" s="577">
        <v>86.65</v>
      </c>
      <c r="F68" s="578">
        <v>2.92</v>
      </c>
      <c r="G68" s="580">
        <f t="shared" si="7"/>
        <v>253.02</v>
      </c>
      <c r="I68" s="130"/>
      <c r="J68" s="131"/>
      <c r="K68" s="130"/>
      <c r="L68" s="130"/>
    </row>
    <row r="69" spans="2:12" s="129" customFormat="1" ht="15" customHeight="1" x14ac:dyDescent="0.25">
      <c r="B69" s="438" t="s">
        <v>420</v>
      </c>
      <c r="C69" s="417" t="s">
        <v>411</v>
      </c>
      <c r="D69" s="413" t="s">
        <v>145</v>
      </c>
      <c r="E69" s="577">
        <v>110</v>
      </c>
      <c r="F69" s="578">
        <v>4.4800000000000004</v>
      </c>
      <c r="G69" s="580">
        <f t="shared" si="7"/>
        <v>492.8</v>
      </c>
      <c r="I69" s="130"/>
      <c r="J69" s="131"/>
      <c r="K69" s="130"/>
      <c r="L69" s="130"/>
    </row>
    <row r="70" spans="2:12" s="129" customFormat="1" ht="15" customHeight="1" x14ac:dyDescent="0.25">
      <c r="B70" s="437" t="s">
        <v>421</v>
      </c>
      <c r="C70" s="416" t="s">
        <v>422</v>
      </c>
      <c r="D70" s="419"/>
      <c r="E70" s="581"/>
      <c r="F70" s="582"/>
      <c r="G70" s="585"/>
      <c r="I70" s="130"/>
      <c r="J70" s="131"/>
      <c r="K70" s="130"/>
      <c r="L70" s="130"/>
    </row>
    <row r="71" spans="2:12" s="129" customFormat="1" ht="15" customHeight="1" x14ac:dyDescent="0.25">
      <c r="B71" s="438" t="s">
        <v>423</v>
      </c>
      <c r="C71" s="417" t="s">
        <v>424</v>
      </c>
      <c r="D71" s="413" t="s">
        <v>101</v>
      </c>
      <c r="E71" s="577">
        <v>64</v>
      </c>
      <c r="F71" s="578">
        <v>49.11</v>
      </c>
      <c r="G71" s="580">
        <f t="shared" ref="G71:G74" si="8">ROUND(E71*F71,2)</f>
        <v>3143.04</v>
      </c>
      <c r="I71" s="130"/>
      <c r="J71" s="131"/>
      <c r="K71" s="130"/>
      <c r="L71" s="130"/>
    </row>
    <row r="72" spans="2:12" s="129" customFormat="1" ht="15" customHeight="1" x14ac:dyDescent="0.25">
      <c r="B72" s="438" t="s">
        <v>425</v>
      </c>
      <c r="C72" s="417" t="s">
        <v>426</v>
      </c>
      <c r="D72" s="413" t="s">
        <v>101</v>
      </c>
      <c r="E72" s="577">
        <v>2.8</v>
      </c>
      <c r="F72" s="578">
        <v>87.93</v>
      </c>
      <c r="G72" s="580">
        <f t="shared" si="8"/>
        <v>246.2</v>
      </c>
      <c r="I72" s="130"/>
      <c r="J72" s="131"/>
      <c r="K72" s="130"/>
      <c r="L72" s="130"/>
    </row>
    <row r="73" spans="2:12" s="129" customFormat="1" ht="15" customHeight="1" x14ac:dyDescent="0.25">
      <c r="B73" s="438" t="s">
        <v>427</v>
      </c>
      <c r="C73" s="417" t="s">
        <v>428</v>
      </c>
      <c r="D73" s="413" t="s">
        <v>145</v>
      </c>
      <c r="E73" s="577">
        <v>28</v>
      </c>
      <c r="F73" s="578">
        <v>51.24</v>
      </c>
      <c r="G73" s="580">
        <f t="shared" si="8"/>
        <v>1434.72</v>
      </c>
      <c r="I73" s="130"/>
      <c r="J73" s="131"/>
      <c r="K73" s="130"/>
      <c r="L73" s="130"/>
    </row>
    <row r="74" spans="2:12" s="129" customFormat="1" ht="15" customHeight="1" x14ac:dyDescent="0.25">
      <c r="B74" s="438" t="s">
        <v>429</v>
      </c>
      <c r="C74" s="417" t="s">
        <v>409</v>
      </c>
      <c r="D74" s="413" t="s">
        <v>101</v>
      </c>
      <c r="E74" s="577">
        <v>64</v>
      </c>
      <c r="F74" s="578">
        <v>2.92</v>
      </c>
      <c r="G74" s="580">
        <f t="shared" si="8"/>
        <v>186.88</v>
      </c>
      <c r="I74" s="130"/>
      <c r="J74" s="131"/>
      <c r="K74" s="130"/>
      <c r="L74" s="130"/>
    </row>
    <row r="75" spans="2:12" s="129" customFormat="1" ht="15" customHeight="1" x14ac:dyDescent="0.25">
      <c r="B75" s="437" t="s">
        <v>430</v>
      </c>
      <c r="C75" s="416" t="s">
        <v>431</v>
      </c>
      <c r="D75" s="419"/>
      <c r="E75" s="581"/>
      <c r="F75" s="582"/>
      <c r="G75" s="585"/>
      <c r="I75" s="130"/>
      <c r="J75" s="131"/>
      <c r="K75" s="130"/>
      <c r="L75" s="130"/>
    </row>
    <row r="76" spans="2:12" s="129" customFormat="1" ht="15" customHeight="1" x14ac:dyDescent="0.25">
      <c r="B76" s="438" t="s">
        <v>432</v>
      </c>
      <c r="C76" s="417" t="s">
        <v>433</v>
      </c>
      <c r="D76" s="413" t="s">
        <v>233</v>
      </c>
      <c r="E76" s="577">
        <v>32</v>
      </c>
      <c r="F76" s="578">
        <v>202.81</v>
      </c>
      <c r="G76" s="580">
        <f t="shared" ref="G76:G77" si="9">ROUND(E76*F76,2)</f>
        <v>6489.92</v>
      </c>
      <c r="I76" s="130"/>
      <c r="J76" s="131"/>
      <c r="K76" s="130"/>
      <c r="L76" s="130"/>
    </row>
    <row r="77" spans="2:12" s="129" customFormat="1" ht="15" customHeight="1" x14ac:dyDescent="0.25">
      <c r="B77" s="438" t="s">
        <v>434</v>
      </c>
      <c r="C77" s="417" t="s">
        <v>435</v>
      </c>
      <c r="D77" s="413" t="s">
        <v>233</v>
      </c>
      <c r="E77" s="577">
        <v>32</v>
      </c>
      <c r="F77" s="578">
        <v>312.41000000000003</v>
      </c>
      <c r="G77" s="580">
        <f t="shared" si="9"/>
        <v>9997.1200000000008</v>
      </c>
      <c r="I77" s="130"/>
      <c r="J77" s="131"/>
      <c r="K77" s="130"/>
      <c r="L77" s="130"/>
    </row>
    <row r="78" spans="2:12" s="104" customFormat="1" ht="15" customHeight="1" x14ac:dyDescent="0.25">
      <c r="B78" s="436" t="s">
        <v>436</v>
      </c>
      <c r="C78" s="415" t="s">
        <v>437</v>
      </c>
      <c r="D78" s="421"/>
      <c r="E78" s="583"/>
      <c r="F78" s="584"/>
      <c r="G78" s="585"/>
      <c r="I78" s="118"/>
      <c r="J78" s="119"/>
      <c r="K78" s="118"/>
      <c r="L78" s="118"/>
    </row>
    <row r="79" spans="2:12" s="129" customFormat="1" ht="15" customHeight="1" x14ac:dyDescent="0.25">
      <c r="B79" s="437" t="s">
        <v>438</v>
      </c>
      <c r="C79" s="416" t="s">
        <v>439</v>
      </c>
      <c r="D79" s="419"/>
      <c r="E79" s="581"/>
      <c r="F79" s="582"/>
      <c r="G79" s="585"/>
      <c r="I79" s="130"/>
      <c r="J79" s="131"/>
      <c r="K79" s="130"/>
      <c r="L79" s="130"/>
    </row>
    <row r="80" spans="2:12" s="104" customFormat="1" ht="15" customHeight="1" x14ac:dyDescent="0.25">
      <c r="B80" s="438" t="s">
        <v>440</v>
      </c>
      <c r="C80" s="417" t="s">
        <v>441</v>
      </c>
      <c r="D80" s="413" t="s">
        <v>234</v>
      </c>
      <c r="E80" s="577">
        <v>43.2</v>
      </c>
      <c r="F80" s="578">
        <v>56.41</v>
      </c>
      <c r="G80" s="580">
        <f t="shared" ref="G80:G84" si="10">ROUND(E80*F80,2)</f>
        <v>2436.91</v>
      </c>
      <c r="I80" s="118"/>
      <c r="J80" s="119"/>
      <c r="K80" s="118"/>
      <c r="L80" s="118"/>
    </row>
    <row r="81" spans="2:12" s="104" customFormat="1" ht="15" customHeight="1" x14ac:dyDescent="0.25">
      <c r="B81" s="438" t="s">
        <v>442</v>
      </c>
      <c r="C81" s="417" t="s">
        <v>231</v>
      </c>
      <c r="D81" s="413" t="s">
        <v>234</v>
      </c>
      <c r="E81" s="577">
        <v>5.5</v>
      </c>
      <c r="F81" s="578">
        <v>42.31</v>
      </c>
      <c r="G81" s="580">
        <f t="shared" si="10"/>
        <v>232.71</v>
      </c>
      <c r="I81" s="118"/>
      <c r="J81" s="119"/>
      <c r="K81" s="118"/>
      <c r="L81" s="118"/>
    </row>
    <row r="82" spans="2:12" s="129" customFormat="1" ht="15" customHeight="1" x14ac:dyDescent="0.25">
      <c r="B82" s="438" t="s">
        <v>443</v>
      </c>
      <c r="C82" s="417" t="s">
        <v>444</v>
      </c>
      <c r="D82" s="413" t="s">
        <v>234</v>
      </c>
      <c r="E82" s="577">
        <v>47.13</v>
      </c>
      <c r="F82" s="578">
        <v>28.21</v>
      </c>
      <c r="G82" s="580">
        <f t="shared" si="10"/>
        <v>1329.54</v>
      </c>
      <c r="I82" s="130"/>
      <c r="J82" s="131"/>
      <c r="K82" s="130"/>
      <c r="L82" s="130"/>
    </row>
    <row r="83" spans="2:12" s="104" customFormat="1" ht="15" customHeight="1" x14ac:dyDescent="0.25">
      <c r="B83" s="438" t="s">
        <v>445</v>
      </c>
      <c r="C83" s="418" t="s">
        <v>349</v>
      </c>
      <c r="D83" s="413" t="s">
        <v>234</v>
      </c>
      <c r="E83" s="577">
        <v>47.13</v>
      </c>
      <c r="F83" s="578">
        <v>18.98</v>
      </c>
      <c r="G83" s="580">
        <f t="shared" si="10"/>
        <v>894.53</v>
      </c>
      <c r="I83" s="118"/>
      <c r="J83" s="119"/>
      <c r="K83" s="118"/>
      <c r="L83" s="118"/>
    </row>
    <row r="84" spans="2:12" s="105" customFormat="1" ht="15" customHeight="1" x14ac:dyDescent="0.25">
      <c r="B84" s="438" t="s">
        <v>446</v>
      </c>
      <c r="C84" s="417" t="s">
        <v>447</v>
      </c>
      <c r="D84" s="413" t="s">
        <v>101</v>
      </c>
      <c r="E84" s="577">
        <v>115.95</v>
      </c>
      <c r="F84" s="578">
        <v>4.25</v>
      </c>
      <c r="G84" s="580">
        <f t="shared" si="10"/>
        <v>492.79</v>
      </c>
      <c r="H84" s="126"/>
      <c r="I84" s="118"/>
      <c r="J84" s="119"/>
      <c r="K84" s="118"/>
    </row>
    <row r="85" spans="2:12" ht="15" customHeight="1" x14ac:dyDescent="0.25">
      <c r="B85" s="437" t="s">
        <v>448</v>
      </c>
      <c r="C85" s="416" t="s">
        <v>449</v>
      </c>
      <c r="D85" s="419"/>
      <c r="E85" s="581"/>
      <c r="F85" s="582"/>
      <c r="G85" s="585"/>
      <c r="I85" s="118"/>
      <c r="J85" s="119"/>
      <c r="K85" s="118"/>
    </row>
    <row r="86" spans="2:12" ht="15" customHeight="1" x14ac:dyDescent="0.25">
      <c r="B86" s="438" t="s">
        <v>450</v>
      </c>
      <c r="C86" s="417" t="s">
        <v>451</v>
      </c>
      <c r="D86" s="413" t="s">
        <v>101</v>
      </c>
      <c r="E86" s="577">
        <v>5.76</v>
      </c>
      <c r="F86" s="578">
        <v>34.68</v>
      </c>
      <c r="G86" s="580">
        <f t="shared" ref="G86:G89" si="11">ROUND(E86*F86,2)</f>
        <v>199.76</v>
      </c>
    </row>
    <row r="87" spans="2:12" s="105" customFormat="1" ht="15" customHeight="1" x14ac:dyDescent="0.25">
      <c r="B87" s="438" t="s">
        <v>452</v>
      </c>
      <c r="C87" s="417" t="s">
        <v>453</v>
      </c>
      <c r="D87" s="413" t="s">
        <v>145</v>
      </c>
      <c r="E87" s="577">
        <v>386</v>
      </c>
      <c r="F87" s="578">
        <v>40.96</v>
      </c>
      <c r="G87" s="580">
        <f t="shared" si="11"/>
        <v>15810.56</v>
      </c>
      <c r="H87" s="103"/>
      <c r="I87" s="103"/>
      <c r="J87" s="127"/>
      <c r="K87" s="104"/>
    </row>
    <row r="88" spans="2:12" s="105" customFormat="1" ht="15" customHeight="1" x14ac:dyDescent="0.25">
      <c r="B88" s="438" t="s">
        <v>454</v>
      </c>
      <c r="C88" s="417" t="s">
        <v>455</v>
      </c>
      <c r="D88" s="413" t="s">
        <v>101</v>
      </c>
      <c r="E88" s="577">
        <v>115.8</v>
      </c>
      <c r="F88" s="578">
        <v>5.86</v>
      </c>
      <c r="G88" s="580">
        <f t="shared" si="11"/>
        <v>678.59</v>
      </c>
      <c r="H88" s="103"/>
      <c r="I88" s="103"/>
      <c r="J88" s="103"/>
      <c r="K88" s="104"/>
    </row>
    <row r="89" spans="2:12" s="105" customFormat="1" ht="15" customHeight="1" x14ac:dyDescent="0.25">
      <c r="B89" s="438" t="s">
        <v>456</v>
      </c>
      <c r="C89" s="417" t="s">
        <v>457</v>
      </c>
      <c r="D89" s="423" t="s">
        <v>145</v>
      </c>
      <c r="E89" s="586">
        <v>38.5</v>
      </c>
      <c r="F89" s="587">
        <v>5.44</v>
      </c>
      <c r="G89" s="580">
        <f t="shared" si="11"/>
        <v>209.44</v>
      </c>
      <c r="H89" s="103"/>
      <c r="I89" s="103"/>
      <c r="J89" s="103"/>
      <c r="K89" s="104"/>
    </row>
    <row r="90" spans="2:12" s="105" customFormat="1" ht="15" customHeight="1" x14ac:dyDescent="0.25">
      <c r="B90" s="436" t="s">
        <v>458</v>
      </c>
      <c r="C90" s="415" t="s">
        <v>459</v>
      </c>
      <c r="D90" s="421"/>
      <c r="E90" s="583"/>
      <c r="F90" s="584"/>
      <c r="G90" s="585"/>
      <c r="H90" s="103"/>
      <c r="I90" s="103"/>
      <c r="J90" s="103"/>
      <c r="K90" s="104"/>
    </row>
    <row r="91" spans="2:12" ht="15" customHeight="1" x14ac:dyDescent="0.25">
      <c r="B91" s="437" t="s">
        <v>460</v>
      </c>
      <c r="C91" s="416" t="s">
        <v>461</v>
      </c>
      <c r="D91" s="419"/>
      <c r="E91" s="581"/>
      <c r="F91" s="582"/>
      <c r="G91" s="585"/>
    </row>
    <row r="92" spans="2:12" ht="15" customHeight="1" x14ac:dyDescent="0.25">
      <c r="B92" s="438" t="s">
        <v>462</v>
      </c>
      <c r="C92" s="417" t="s">
        <v>441</v>
      </c>
      <c r="D92" s="413" t="s">
        <v>234</v>
      </c>
      <c r="E92" s="577">
        <v>9</v>
      </c>
      <c r="F92" s="578">
        <v>56.41</v>
      </c>
      <c r="G92" s="580">
        <f t="shared" ref="G92:G95" si="12">ROUND(E92*F92,2)</f>
        <v>507.69</v>
      </c>
    </row>
    <row r="93" spans="2:12" ht="15" customHeight="1" x14ac:dyDescent="0.25">
      <c r="B93" s="438" t="s">
        <v>463</v>
      </c>
      <c r="C93" s="417" t="s">
        <v>347</v>
      </c>
      <c r="D93" s="413" t="s">
        <v>234</v>
      </c>
      <c r="E93" s="577">
        <v>10.75</v>
      </c>
      <c r="F93" s="578">
        <v>19.04</v>
      </c>
      <c r="G93" s="580">
        <f t="shared" si="12"/>
        <v>204.68</v>
      </c>
    </row>
    <row r="94" spans="2:12" ht="15" customHeight="1" x14ac:dyDescent="0.25">
      <c r="B94" s="438" t="s">
        <v>464</v>
      </c>
      <c r="C94" s="417" t="s">
        <v>444</v>
      </c>
      <c r="D94" s="413" t="s">
        <v>234</v>
      </c>
      <c r="E94" s="577">
        <v>8.75</v>
      </c>
      <c r="F94" s="578">
        <v>28.21</v>
      </c>
      <c r="G94" s="580">
        <f t="shared" si="12"/>
        <v>246.84</v>
      </c>
    </row>
    <row r="95" spans="2:12" ht="15" customHeight="1" x14ac:dyDescent="0.25">
      <c r="B95" s="438" t="s">
        <v>465</v>
      </c>
      <c r="C95" s="418" t="s">
        <v>349</v>
      </c>
      <c r="D95" s="413" t="s">
        <v>234</v>
      </c>
      <c r="E95" s="577">
        <v>8.75</v>
      </c>
      <c r="F95" s="578">
        <v>18.98</v>
      </c>
      <c r="G95" s="580">
        <f t="shared" si="12"/>
        <v>166.08</v>
      </c>
    </row>
    <row r="96" spans="2:12" ht="15" customHeight="1" x14ac:dyDescent="0.25">
      <c r="B96" s="437" t="s">
        <v>466</v>
      </c>
      <c r="C96" s="416" t="s">
        <v>467</v>
      </c>
      <c r="D96" s="419"/>
      <c r="E96" s="581"/>
      <c r="F96" s="582"/>
      <c r="G96" s="585"/>
    </row>
    <row r="97" spans="2:7" ht="15" customHeight="1" x14ac:dyDescent="0.25">
      <c r="B97" s="438" t="s">
        <v>468</v>
      </c>
      <c r="C97" s="417" t="s">
        <v>469</v>
      </c>
      <c r="D97" s="413" t="s">
        <v>102</v>
      </c>
      <c r="E97" s="577">
        <v>653.79999999999995</v>
      </c>
      <c r="F97" s="578">
        <v>7.85</v>
      </c>
      <c r="G97" s="580">
        <f t="shared" ref="G97:G101" si="13">ROUND(E97*F97,2)</f>
        <v>5132.33</v>
      </c>
    </row>
    <row r="98" spans="2:7" ht="15" customHeight="1" x14ac:dyDescent="0.25">
      <c r="B98" s="438" t="s">
        <v>470</v>
      </c>
      <c r="C98" s="417" t="s">
        <v>471</v>
      </c>
      <c r="D98" s="413" t="s">
        <v>101</v>
      </c>
      <c r="E98" s="577">
        <v>251.02</v>
      </c>
      <c r="F98" s="578">
        <v>73.97</v>
      </c>
      <c r="G98" s="580">
        <f t="shared" si="13"/>
        <v>18567.95</v>
      </c>
    </row>
    <row r="99" spans="2:7" ht="15" customHeight="1" x14ac:dyDescent="0.25">
      <c r="B99" s="438" t="s">
        <v>472</v>
      </c>
      <c r="C99" s="418" t="s">
        <v>473</v>
      </c>
      <c r="D99" s="413" t="s">
        <v>234</v>
      </c>
      <c r="E99" s="577">
        <v>32.94</v>
      </c>
      <c r="F99" s="578">
        <v>477.23</v>
      </c>
      <c r="G99" s="580">
        <f t="shared" si="13"/>
        <v>15719.96</v>
      </c>
    </row>
    <row r="100" spans="2:7" ht="15" customHeight="1" x14ac:dyDescent="0.25">
      <c r="B100" s="438" t="s">
        <v>474</v>
      </c>
      <c r="C100" s="417" t="s">
        <v>365</v>
      </c>
      <c r="D100" s="413" t="s">
        <v>101</v>
      </c>
      <c r="E100" s="577">
        <v>219.61</v>
      </c>
      <c r="F100" s="578">
        <v>2.92</v>
      </c>
      <c r="G100" s="580">
        <f t="shared" si="13"/>
        <v>641.26</v>
      </c>
    </row>
    <row r="101" spans="2:7" ht="15" customHeight="1" x14ac:dyDescent="0.25">
      <c r="B101" s="438" t="s">
        <v>475</v>
      </c>
      <c r="C101" s="417" t="s">
        <v>411</v>
      </c>
      <c r="D101" s="413" t="s">
        <v>145</v>
      </c>
      <c r="E101" s="577">
        <v>6</v>
      </c>
      <c r="F101" s="578">
        <v>4.4800000000000004</v>
      </c>
      <c r="G101" s="580">
        <f t="shared" si="13"/>
        <v>26.88</v>
      </c>
    </row>
    <row r="102" spans="2:7" ht="15" customHeight="1" x14ac:dyDescent="0.25">
      <c r="B102" s="436" t="s">
        <v>476</v>
      </c>
      <c r="C102" s="415" t="s">
        <v>477</v>
      </c>
      <c r="D102" s="421"/>
      <c r="E102" s="583"/>
      <c r="F102" s="584"/>
      <c r="G102" s="585"/>
    </row>
    <row r="103" spans="2:7" ht="15" customHeight="1" x14ac:dyDescent="0.25">
      <c r="B103" s="437" t="s">
        <v>478</v>
      </c>
      <c r="C103" s="425" t="s">
        <v>479</v>
      </c>
      <c r="D103" s="419"/>
      <c r="E103" s="581"/>
      <c r="F103" s="582"/>
      <c r="G103" s="585"/>
    </row>
    <row r="104" spans="2:7" ht="15" customHeight="1" x14ac:dyDescent="0.25">
      <c r="B104" s="438" t="s">
        <v>480</v>
      </c>
      <c r="C104" s="417" t="s">
        <v>229</v>
      </c>
      <c r="D104" s="413" t="s">
        <v>101</v>
      </c>
      <c r="E104" s="577">
        <v>20.079999999999998</v>
      </c>
      <c r="F104" s="578">
        <v>1.06</v>
      </c>
      <c r="G104" s="580">
        <f t="shared" ref="G104:G105" si="14">ROUND(E104*F104,2)</f>
        <v>21.28</v>
      </c>
    </row>
    <row r="105" spans="2:7" ht="15" customHeight="1" x14ac:dyDescent="0.25">
      <c r="B105" s="438" t="s">
        <v>481</v>
      </c>
      <c r="C105" s="417" t="s">
        <v>482</v>
      </c>
      <c r="D105" s="413" t="s">
        <v>101</v>
      </c>
      <c r="E105" s="577">
        <v>20.079999999999998</v>
      </c>
      <c r="F105" s="578">
        <v>1.69</v>
      </c>
      <c r="G105" s="580">
        <f t="shared" si="14"/>
        <v>33.94</v>
      </c>
    </row>
    <row r="106" spans="2:7" ht="15" customHeight="1" x14ac:dyDescent="0.25">
      <c r="B106" s="437" t="s">
        <v>483</v>
      </c>
      <c r="C106" s="416" t="s">
        <v>226</v>
      </c>
      <c r="D106" s="419"/>
      <c r="E106" s="581"/>
      <c r="F106" s="582"/>
      <c r="G106" s="585"/>
    </row>
    <row r="107" spans="2:7" ht="15" customHeight="1" x14ac:dyDescent="0.25">
      <c r="B107" s="438" t="s">
        <v>484</v>
      </c>
      <c r="C107" s="417" t="s">
        <v>392</v>
      </c>
      <c r="D107" s="413" t="s">
        <v>234</v>
      </c>
      <c r="E107" s="577">
        <v>22.39</v>
      </c>
      <c r="F107" s="578">
        <v>22.11</v>
      </c>
      <c r="G107" s="580">
        <f t="shared" ref="G107:G109" si="15">ROUND(E107*F107,2)</f>
        <v>495.04</v>
      </c>
    </row>
    <row r="108" spans="2:7" ht="15" customHeight="1" x14ac:dyDescent="0.25">
      <c r="B108" s="438" t="s">
        <v>485</v>
      </c>
      <c r="C108" s="417" t="s">
        <v>486</v>
      </c>
      <c r="D108" s="413" t="s">
        <v>234</v>
      </c>
      <c r="E108" s="577">
        <v>14.57</v>
      </c>
      <c r="F108" s="578">
        <v>83.65</v>
      </c>
      <c r="G108" s="580">
        <f t="shared" si="15"/>
        <v>1218.78</v>
      </c>
    </row>
    <row r="109" spans="2:7" ht="15" customHeight="1" x14ac:dyDescent="0.25">
      <c r="B109" s="438" t="s">
        <v>487</v>
      </c>
      <c r="C109" s="418" t="s">
        <v>349</v>
      </c>
      <c r="D109" s="413" t="s">
        <v>234</v>
      </c>
      <c r="E109" s="577">
        <v>9.7799999999999994</v>
      </c>
      <c r="F109" s="578">
        <v>18.98</v>
      </c>
      <c r="G109" s="580">
        <f t="shared" si="15"/>
        <v>185.62</v>
      </c>
    </row>
    <row r="110" spans="2:7" ht="15" customHeight="1" x14ac:dyDescent="0.25">
      <c r="B110" s="437" t="s">
        <v>488</v>
      </c>
      <c r="C110" s="416" t="s">
        <v>227</v>
      </c>
      <c r="D110" s="419"/>
      <c r="E110" s="581"/>
      <c r="F110" s="582"/>
      <c r="G110" s="585"/>
    </row>
    <row r="111" spans="2:7" ht="15" customHeight="1" x14ac:dyDescent="0.25">
      <c r="B111" s="438" t="s">
        <v>489</v>
      </c>
      <c r="C111" s="417" t="s">
        <v>490</v>
      </c>
      <c r="D111" s="413" t="s">
        <v>101</v>
      </c>
      <c r="E111" s="577">
        <v>20.079999999999998</v>
      </c>
      <c r="F111" s="578">
        <v>40.1</v>
      </c>
      <c r="G111" s="580">
        <f>ROUND(E111*F111,2)</f>
        <v>805.21</v>
      </c>
    </row>
    <row r="112" spans="2:7" ht="15" customHeight="1" x14ac:dyDescent="0.25">
      <c r="B112" s="437" t="s">
        <v>491</v>
      </c>
      <c r="C112" s="416" t="s">
        <v>228</v>
      </c>
      <c r="D112" s="419"/>
      <c r="E112" s="581"/>
      <c r="F112" s="582"/>
      <c r="G112" s="585"/>
    </row>
    <row r="113" spans="2:7" ht="15" customHeight="1" x14ac:dyDescent="0.25">
      <c r="B113" s="439" t="s">
        <v>492</v>
      </c>
      <c r="C113" s="426" t="s">
        <v>232</v>
      </c>
      <c r="D113" s="427"/>
      <c r="E113" s="588"/>
      <c r="F113" s="589"/>
      <c r="G113" s="585"/>
    </row>
    <row r="114" spans="2:7" ht="15" customHeight="1" x14ac:dyDescent="0.25">
      <c r="B114" s="438" t="s">
        <v>493</v>
      </c>
      <c r="C114" s="417" t="s">
        <v>469</v>
      </c>
      <c r="D114" s="413" t="s">
        <v>102</v>
      </c>
      <c r="E114" s="577">
        <v>400.33</v>
      </c>
      <c r="F114" s="578">
        <v>7.85</v>
      </c>
      <c r="G114" s="580">
        <f t="shared" ref="G114:G117" si="16">ROUND(E114*F114,2)</f>
        <v>3142.59</v>
      </c>
    </row>
    <row r="115" spans="2:7" ht="15" customHeight="1" x14ac:dyDescent="0.25">
      <c r="B115" s="438" t="s">
        <v>494</v>
      </c>
      <c r="C115" s="417" t="s">
        <v>495</v>
      </c>
      <c r="D115" s="413" t="s">
        <v>101</v>
      </c>
      <c r="E115" s="577">
        <v>14.88</v>
      </c>
      <c r="F115" s="578">
        <v>73.97</v>
      </c>
      <c r="G115" s="580">
        <f t="shared" si="16"/>
        <v>1100.67</v>
      </c>
    </row>
    <row r="116" spans="2:7" ht="15" customHeight="1" x14ac:dyDescent="0.25">
      <c r="B116" s="438" t="s">
        <v>496</v>
      </c>
      <c r="C116" s="417" t="s">
        <v>497</v>
      </c>
      <c r="D116" s="413" t="s">
        <v>234</v>
      </c>
      <c r="E116" s="577">
        <v>6.01</v>
      </c>
      <c r="F116" s="578">
        <v>630.15</v>
      </c>
      <c r="G116" s="580">
        <f t="shared" si="16"/>
        <v>3787.2</v>
      </c>
    </row>
    <row r="117" spans="2:7" ht="15" customHeight="1" x14ac:dyDescent="0.25">
      <c r="B117" s="438" t="s">
        <v>498</v>
      </c>
      <c r="C117" s="417" t="s">
        <v>409</v>
      </c>
      <c r="D117" s="413" t="s">
        <v>101</v>
      </c>
      <c r="E117" s="577">
        <v>20.079999999999998</v>
      </c>
      <c r="F117" s="578">
        <v>2.92</v>
      </c>
      <c r="G117" s="580">
        <f t="shared" si="16"/>
        <v>58.63</v>
      </c>
    </row>
    <row r="118" spans="2:7" ht="15" customHeight="1" x14ac:dyDescent="0.25">
      <c r="B118" s="439" t="s">
        <v>499</v>
      </c>
      <c r="C118" s="426" t="s">
        <v>500</v>
      </c>
      <c r="D118" s="427"/>
      <c r="E118" s="588"/>
      <c r="F118" s="589"/>
      <c r="G118" s="585"/>
    </row>
    <row r="119" spans="2:7" ht="15" customHeight="1" x14ac:dyDescent="0.25">
      <c r="B119" s="438" t="s">
        <v>501</v>
      </c>
      <c r="C119" s="417" t="s">
        <v>469</v>
      </c>
      <c r="D119" s="413" t="s">
        <v>102</v>
      </c>
      <c r="E119" s="577">
        <v>175.55</v>
      </c>
      <c r="F119" s="578">
        <v>7.85</v>
      </c>
      <c r="G119" s="580">
        <f t="shared" ref="G119:G122" si="17">ROUND(E119*F119,2)</f>
        <v>1378.07</v>
      </c>
    </row>
    <row r="120" spans="2:7" ht="15" customHeight="1" x14ac:dyDescent="0.25">
      <c r="B120" s="438" t="s">
        <v>502</v>
      </c>
      <c r="C120" s="417" t="s">
        <v>503</v>
      </c>
      <c r="D120" s="413" t="s">
        <v>101</v>
      </c>
      <c r="E120" s="577">
        <v>53.48</v>
      </c>
      <c r="F120" s="578">
        <v>73.97</v>
      </c>
      <c r="G120" s="580">
        <f t="shared" si="17"/>
        <v>3955.92</v>
      </c>
    </row>
    <row r="121" spans="2:7" ht="15" customHeight="1" x14ac:dyDescent="0.25">
      <c r="B121" s="438" t="s">
        <v>504</v>
      </c>
      <c r="C121" s="417" t="s">
        <v>505</v>
      </c>
      <c r="D121" s="413" t="s">
        <v>234</v>
      </c>
      <c r="E121" s="577">
        <v>3.82</v>
      </c>
      <c r="F121" s="578">
        <v>630.15</v>
      </c>
      <c r="G121" s="580">
        <f t="shared" si="17"/>
        <v>2407.17</v>
      </c>
    </row>
    <row r="122" spans="2:7" ht="15" customHeight="1" x14ac:dyDescent="0.25">
      <c r="B122" s="438" t="s">
        <v>506</v>
      </c>
      <c r="C122" s="417" t="s">
        <v>409</v>
      </c>
      <c r="D122" s="413" t="s">
        <v>101</v>
      </c>
      <c r="E122" s="577">
        <v>50.96</v>
      </c>
      <c r="F122" s="578">
        <v>2.92</v>
      </c>
      <c r="G122" s="580">
        <f t="shared" si="17"/>
        <v>148.80000000000001</v>
      </c>
    </row>
    <row r="123" spans="2:7" ht="15" customHeight="1" x14ac:dyDescent="0.25">
      <c r="B123" s="436" t="s">
        <v>507</v>
      </c>
      <c r="C123" s="429" t="s">
        <v>508</v>
      </c>
      <c r="D123" s="430"/>
      <c r="E123" s="590"/>
      <c r="F123" s="591"/>
      <c r="G123" s="585"/>
    </row>
    <row r="124" spans="2:7" ht="15" customHeight="1" x14ac:dyDescent="0.25">
      <c r="B124" s="437" t="s">
        <v>509</v>
      </c>
      <c r="C124" s="416" t="s">
        <v>226</v>
      </c>
      <c r="D124" s="419"/>
      <c r="E124" s="581"/>
      <c r="F124" s="582"/>
      <c r="G124" s="585"/>
    </row>
    <row r="125" spans="2:7" ht="15" customHeight="1" x14ac:dyDescent="0.25">
      <c r="B125" s="438" t="s">
        <v>510</v>
      </c>
      <c r="C125" s="417" t="s">
        <v>511</v>
      </c>
      <c r="D125" s="413" t="s">
        <v>234</v>
      </c>
      <c r="E125" s="577">
        <v>7.58</v>
      </c>
      <c r="F125" s="578">
        <v>63.47</v>
      </c>
      <c r="G125" s="580">
        <f t="shared" ref="G125:G129" si="18">ROUND(E125*F125,2)</f>
        <v>481.1</v>
      </c>
    </row>
    <row r="126" spans="2:7" ht="15" customHeight="1" x14ac:dyDescent="0.25">
      <c r="B126" s="438" t="s">
        <v>512</v>
      </c>
      <c r="C126" s="417" t="s">
        <v>513</v>
      </c>
      <c r="D126" s="413" t="s">
        <v>234</v>
      </c>
      <c r="E126" s="577">
        <v>1.8</v>
      </c>
      <c r="F126" s="578">
        <v>83.65</v>
      </c>
      <c r="G126" s="580">
        <f t="shared" si="18"/>
        <v>150.57</v>
      </c>
    </row>
    <row r="127" spans="2:7" ht="15" customHeight="1" x14ac:dyDescent="0.25">
      <c r="B127" s="438" t="s">
        <v>514</v>
      </c>
      <c r="C127" s="417" t="s">
        <v>515</v>
      </c>
      <c r="D127" s="413" t="s">
        <v>101</v>
      </c>
      <c r="E127" s="577">
        <v>21.66</v>
      </c>
      <c r="F127" s="578">
        <v>4.6500000000000004</v>
      </c>
      <c r="G127" s="580">
        <f t="shared" si="18"/>
        <v>100.72</v>
      </c>
    </row>
    <row r="128" spans="2:7" ht="15" customHeight="1" x14ac:dyDescent="0.25">
      <c r="B128" s="438" t="s">
        <v>516</v>
      </c>
      <c r="C128" s="418" t="s">
        <v>349</v>
      </c>
      <c r="D128" s="413" t="s">
        <v>234</v>
      </c>
      <c r="E128" s="577">
        <v>9.48</v>
      </c>
      <c r="F128" s="578">
        <v>18.98</v>
      </c>
      <c r="G128" s="580">
        <f t="shared" si="18"/>
        <v>179.93</v>
      </c>
    </row>
    <row r="129" spans="2:7" ht="15" customHeight="1" x14ac:dyDescent="0.25">
      <c r="B129" s="438" t="s">
        <v>517</v>
      </c>
      <c r="C129" s="418" t="s">
        <v>518</v>
      </c>
      <c r="D129" s="413" t="s">
        <v>101</v>
      </c>
      <c r="E129" s="577">
        <v>21.66</v>
      </c>
      <c r="F129" s="578">
        <v>60.87</v>
      </c>
      <c r="G129" s="580">
        <f t="shared" si="18"/>
        <v>1318.44</v>
      </c>
    </row>
    <row r="130" spans="2:7" ht="15" customHeight="1" x14ac:dyDescent="0.25">
      <c r="B130" s="437" t="s">
        <v>519</v>
      </c>
      <c r="C130" s="425" t="s">
        <v>227</v>
      </c>
      <c r="D130" s="419"/>
      <c r="E130" s="581"/>
      <c r="F130" s="582"/>
      <c r="G130" s="585"/>
    </row>
    <row r="131" spans="2:7" ht="15" customHeight="1" x14ac:dyDescent="0.25">
      <c r="B131" s="438" t="s">
        <v>520</v>
      </c>
      <c r="C131" s="417" t="s">
        <v>521</v>
      </c>
      <c r="D131" s="413" t="s">
        <v>234</v>
      </c>
      <c r="E131" s="577">
        <v>6.75</v>
      </c>
      <c r="F131" s="578">
        <v>485.73</v>
      </c>
      <c r="G131" s="580">
        <f t="shared" ref="G131:G133" si="19">ROUND(E131*F131,2)</f>
        <v>3278.68</v>
      </c>
    </row>
    <row r="132" spans="2:7" ht="15" customHeight="1" x14ac:dyDescent="0.25">
      <c r="B132" s="438" t="s">
        <v>522</v>
      </c>
      <c r="C132" s="417" t="s">
        <v>523</v>
      </c>
      <c r="D132" s="413" t="s">
        <v>101</v>
      </c>
      <c r="E132" s="577">
        <v>5.78</v>
      </c>
      <c r="F132" s="578">
        <v>74.11</v>
      </c>
      <c r="G132" s="580">
        <f t="shared" si="19"/>
        <v>428.36</v>
      </c>
    </row>
    <row r="133" spans="2:7" ht="15" customHeight="1" x14ac:dyDescent="0.25">
      <c r="B133" s="438" t="s">
        <v>524</v>
      </c>
      <c r="C133" s="417" t="s">
        <v>525</v>
      </c>
      <c r="D133" s="413" t="s">
        <v>101</v>
      </c>
      <c r="E133" s="577">
        <v>21.66</v>
      </c>
      <c r="F133" s="578">
        <v>2.92</v>
      </c>
      <c r="G133" s="580">
        <f t="shared" si="19"/>
        <v>63.25</v>
      </c>
    </row>
    <row r="134" spans="2:7" ht="15" customHeight="1" x14ac:dyDescent="0.25">
      <c r="B134" s="436" t="s">
        <v>526</v>
      </c>
      <c r="C134" s="429" t="s">
        <v>527</v>
      </c>
      <c r="D134" s="421"/>
      <c r="E134" s="583"/>
      <c r="F134" s="584"/>
      <c r="G134" s="585"/>
    </row>
    <row r="135" spans="2:7" ht="15" customHeight="1" x14ac:dyDescent="0.25">
      <c r="B135" s="438" t="s">
        <v>528</v>
      </c>
      <c r="C135" s="417" t="s">
        <v>529</v>
      </c>
      <c r="D135" s="413" t="s">
        <v>101</v>
      </c>
      <c r="E135" s="577">
        <v>228.04</v>
      </c>
      <c r="F135" s="578">
        <v>51.88</v>
      </c>
      <c r="G135" s="580">
        <f t="shared" ref="G135:G136" si="20">ROUND(E135*F135,2)</f>
        <v>11830.72</v>
      </c>
    </row>
    <row r="136" spans="2:7" ht="15" customHeight="1" x14ac:dyDescent="0.25">
      <c r="B136" s="438" t="s">
        <v>530</v>
      </c>
      <c r="C136" s="417" t="s">
        <v>531</v>
      </c>
      <c r="D136" s="413" t="s">
        <v>101</v>
      </c>
      <c r="E136" s="577">
        <v>228.04</v>
      </c>
      <c r="F136" s="578">
        <v>28.17</v>
      </c>
      <c r="G136" s="580">
        <f t="shared" si="20"/>
        <v>6423.89</v>
      </c>
    </row>
    <row r="137" spans="2:7" ht="15" customHeight="1" x14ac:dyDescent="0.25">
      <c r="B137" s="436" t="s">
        <v>532</v>
      </c>
      <c r="C137" s="415" t="s">
        <v>533</v>
      </c>
      <c r="D137" s="421"/>
      <c r="E137" s="583"/>
      <c r="F137" s="584"/>
      <c r="G137" s="585"/>
    </row>
    <row r="138" spans="2:7" ht="15" customHeight="1" x14ac:dyDescent="0.25">
      <c r="B138" s="438" t="s">
        <v>534</v>
      </c>
      <c r="C138" s="418" t="s">
        <v>535</v>
      </c>
      <c r="D138" s="413" t="s">
        <v>233</v>
      </c>
      <c r="E138" s="577">
        <v>40</v>
      </c>
      <c r="F138" s="578">
        <v>30.6</v>
      </c>
      <c r="G138" s="580">
        <f>ROUND(E138*F138,2)</f>
        <v>1224</v>
      </c>
    </row>
    <row r="139" spans="2:7" ht="15" customHeight="1" x14ac:dyDescent="0.25">
      <c r="B139" s="436" t="s">
        <v>536</v>
      </c>
      <c r="C139" s="415" t="s">
        <v>109</v>
      </c>
      <c r="D139" s="421"/>
      <c r="E139" s="583"/>
      <c r="F139" s="584"/>
      <c r="G139" s="585"/>
    </row>
    <row r="140" spans="2:7" ht="15" customHeight="1" x14ac:dyDescent="0.25">
      <c r="B140" s="438" t="s">
        <v>537</v>
      </c>
      <c r="C140" s="417" t="s">
        <v>538</v>
      </c>
      <c r="D140" s="413" t="s">
        <v>233</v>
      </c>
      <c r="E140" s="577">
        <v>4</v>
      </c>
      <c r="F140" s="578">
        <v>2550</v>
      </c>
      <c r="G140" s="580">
        <f>ROUND(E140*F140,2)</f>
        <v>10200</v>
      </c>
    </row>
    <row r="141" spans="2:7" ht="15" customHeight="1" x14ac:dyDescent="0.25">
      <c r="B141" s="436" t="s">
        <v>539</v>
      </c>
      <c r="C141" s="415" t="s">
        <v>540</v>
      </c>
      <c r="D141" s="421"/>
      <c r="E141" s="583"/>
      <c r="F141" s="584"/>
      <c r="G141" s="585"/>
    </row>
    <row r="142" spans="2:7" ht="15" customHeight="1" x14ac:dyDescent="0.25">
      <c r="B142" s="438" t="s">
        <v>541</v>
      </c>
      <c r="C142" s="418" t="s">
        <v>542</v>
      </c>
      <c r="D142" s="413" t="s">
        <v>5</v>
      </c>
      <c r="E142" s="577">
        <v>1</v>
      </c>
      <c r="F142" s="578">
        <v>5500</v>
      </c>
      <c r="G142" s="580">
        <f t="shared" ref="G142:G146" si="21">ROUND(E142*F142,2)</f>
        <v>5500</v>
      </c>
    </row>
    <row r="143" spans="2:7" ht="15" customHeight="1" x14ac:dyDescent="0.25">
      <c r="B143" s="438" t="s">
        <v>543</v>
      </c>
      <c r="C143" s="417" t="s">
        <v>544</v>
      </c>
      <c r="D143" s="413" t="s">
        <v>5</v>
      </c>
      <c r="E143" s="577">
        <v>1</v>
      </c>
      <c r="F143" s="578">
        <v>4706.1000000000004</v>
      </c>
      <c r="G143" s="580">
        <f t="shared" si="21"/>
        <v>4706.1000000000004</v>
      </c>
    </row>
    <row r="144" spans="2:7" ht="15" customHeight="1" x14ac:dyDescent="0.25">
      <c r="B144" s="438" t="s">
        <v>545</v>
      </c>
      <c r="C144" s="417" t="s">
        <v>546</v>
      </c>
      <c r="D144" s="413" t="s">
        <v>5</v>
      </c>
      <c r="E144" s="577">
        <v>1</v>
      </c>
      <c r="F144" s="578">
        <v>1534.46</v>
      </c>
      <c r="G144" s="580">
        <f t="shared" si="21"/>
        <v>1534.46</v>
      </c>
    </row>
    <row r="145" spans="2:7" ht="15" customHeight="1" x14ac:dyDescent="0.25">
      <c r="B145" s="438" t="s">
        <v>547</v>
      </c>
      <c r="C145" s="417" t="s">
        <v>548</v>
      </c>
      <c r="D145" s="413" t="s">
        <v>5</v>
      </c>
      <c r="E145" s="577">
        <v>1</v>
      </c>
      <c r="F145" s="578">
        <v>2800</v>
      </c>
      <c r="G145" s="580">
        <f t="shared" si="21"/>
        <v>2800</v>
      </c>
    </row>
    <row r="146" spans="2:7" ht="15" customHeight="1" x14ac:dyDescent="0.25">
      <c r="B146" s="438" t="s">
        <v>549</v>
      </c>
      <c r="C146" s="418" t="s">
        <v>550</v>
      </c>
      <c r="D146" s="413" t="s">
        <v>5</v>
      </c>
      <c r="E146" s="577">
        <v>1</v>
      </c>
      <c r="F146" s="578">
        <v>3800</v>
      </c>
      <c r="G146" s="580">
        <f t="shared" si="21"/>
        <v>3800</v>
      </c>
    </row>
    <row r="147" spans="2:7" ht="15" customHeight="1" x14ac:dyDescent="0.25">
      <c r="B147" s="436" t="s">
        <v>551</v>
      </c>
      <c r="C147" s="415" t="s">
        <v>552</v>
      </c>
      <c r="D147" s="421"/>
      <c r="E147" s="583"/>
      <c r="F147" s="584"/>
      <c r="G147" s="585"/>
    </row>
    <row r="148" spans="2:7" ht="15" customHeight="1" x14ac:dyDescent="0.25">
      <c r="B148" s="438" t="s">
        <v>553</v>
      </c>
      <c r="C148" s="417" t="s">
        <v>554</v>
      </c>
      <c r="D148" s="413" t="s">
        <v>5</v>
      </c>
      <c r="E148" s="577">
        <v>1</v>
      </c>
      <c r="F148" s="578">
        <f>2500+3523</f>
        <v>6023</v>
      </c>
      <c r="G148" s="580">
        <f>ROUND(E148*F148,2)</f>
        <v>6023</v>
      </c>
    </row>
    <row r="149" spans="2:7" ht="15" customHeight="1" x14ac:dyDescent="0.25">
      <c r="B149" s="436" t="s">
        <v>555</v>
      </c>
      <c r="C149" s="429" t="s">
        <v>556</v>
      </c>
      <c r="D149" s="421"/>
      <c r="E149" s="583"/>
      <c r="F149" s="584"/>
      <c r="G149" s="585"/>
    </row>
    <row r="150" spans="2:7" ht="15" customHeight="1" x14ac:dyDescent="0.25">
      <c r="B150" s="438" t="s">
        <v>557</v>
      </c>
      <c r="C150" s="417" t="s">
        <v>558</v>
      </c>
      <c r="D150" s="413" t="s">
        <v>5</v>
      </c>
      <c r="E150" s="577">
        <v>1</v>
      </c>
      <c r="F150" s="578">
        <v>5620</v>
      </c>
      <c r="G150" s="580">
        <f t="shared" ref="G150:G155" si="22">ROUND(E150*F150,2)</f>
        <v>5620</v>
      </c>
    </row>
    <row r="151" spans="2:7" ht="15" customHeight="1" x14ac:dyDescent="0.25">
      <c r="B151" s="438" t="s">
        <v>559</v>
      </c>
      <c r="C151" s="432" t="s">
        <v>560</v>
      </c>
      <c r="D151" s="413" t="s">
        <v>5</v>
      </c>
      <c r="E151" s="577">
        <v>1</v>
      </c>
      <c r="F151" s="578">
        <v>3420</v>
      </c>
      <c r="G151" s="580">
        <f t="shared" si="22"/>
        <v>3420</v>
      </c>
    </row>
    <row r="152" spans="2:7" ht="15" customHeight="1" x14ac:dyDescent="0.25">
      <c r="B152" s="438" t="s">
        <v>561</v>
      </c>
      <c r="C152" s="417" t="s">
        <v>562</v>
      </c>
      <c r="D152" s="413" t="s">
        <v>563</v>
      </c>
      <c r="E152" s="577">
        <v>1</v>
      </c>
      <c r="F152" s="578">
        <v>3600</v>
      </c>
      <c r="G152" s="580">
        <f t="shared" si="22"/>
        <v>3600</v>
      </c>
    </row>
    <row r="153" spans="2:7" ht="15" customHeight="1" x14ac:dyDescent="0.25">
      <c r="B153" s="438" t="s">
        <v>564</v>
      </c>
      <c r="C153" s="417" t="s">
        <v>565</v>
      </c>
      <c r="D153" s="413" t="s">
        <v>563</v>
      </c>
      <c r="E153" s="577">
        <v>1</v>
      </c>
      <c r="F153" s="578">
        <v>1550</v>
      </c>
      <c r="G153" s="580">
        <f t="shared" si="22"/>
        <v>1550</v>
      </c>
    </row>
    <row r="154" spans="2:7" ht="15" customHeight="1" x14ac:dyDescent="0.25">
      <c r="B154" s="438" t="s">
        <v>566</v>
      </c>
      <c r="C154" s="417" t="s">
        <v>567</v>
      </c>
      <c r="D154" s="413" t="s">
        <v>101</v>
      </c>
      <c r="E154" s="577">
        <v>1932.21</v>
      </c>
      <c r="F154" s="578">
        <v>1.2</v>
      </c>
      <c r="G154" s="580">
        <f t="shared" si="22"/>
        <v>2318.65</v>
      </c>
    </row>
    <row r="155" spans="2:7" ht="15" customHeight="1" x14ac:dyDescent="0.25">
      <c r="B155" s="440" t="s">
        <v>568</v>
      </c>
      <c r="C155" s="433" t="s">
        <v>569</v>
      </c>
      <c r="D155" s="434" t="s">
        <v>101</v>
      </c>
      <c r="E155" s="592">
        <v>1932.21</v>
      </c>
      <c r="F155" s="593">
        <v>1.1200000000000001</v>
      </c>
      <c r="G155" s="594">
        <f t="shared" si="22"/>
        <v>2164.08</v>
      </c>
    </row>
    <row r="156" spans="2:7" ht="15" customHeight="1" x14ac:dyDescent="0.25">
      <c r="B156" s="236" t="s">
        <v>4</v>
      </c>
      <c r="C156" s="236"/>
      <c r="D156" s="313"/>
      <c r="E156" s="595"/>
      <c r="F156" s="313"/>
      <c r="G156" s="596">
        <f>ROUND(SUM(G12:G155),2)</f>
        <v>462717.27</v>
      </c>
    </row>
    <row r="157" spans="2:7" ht="15" customHeight="1" x14ac:dyDescent="0.25">
      <c r="B157" s="103" t="s">
        <v>98</v>
      </c>
      <c r="D157" s="317">
        <v>0.1</v>
      </c>
      <c r="G157" s="598">
        <f>ROUND($D157*G$156,2)</f>
        <v>46271.73</v>
      </c>
    </row>
    <row r="158" spans="2:7" ht="15" customHeight="1" x14ac:dyDescent="0.25">
      <c r="B158" s="103" t="s">
        <v>99</v>
      </c>
      <c r="D158" s="320">
        <v>7.0000000000000007E-2</v>
      </c>
      <c r="G158" s="598">
        <f>ROUND($D158*G$156,2)</f>
        <v>32390.21</v>
      </c>
    </row>
    <row r="159" spans="2:7" ht="15" customHeight="1" x14ac:dyDescent="0.25">
      <c r="B159" s="236" t="s">
        <v>33</v>
      </c>
      <c r="C159" s="236"/>
      <c r="D159" s="313"/>
      <c r="E159" s="595"/>
      <c r="F159" s="313"/>
      <c r="G159" s="596">
        <f>ROUND(G156+G157+G158,2)</f>
        <v>541379.21</v>
      </c>
    </row>
    <row r="160" spans="2:7" ht="15" customHeight="1" x14ac:dyDescent="0.25">
      <c r="B160" s="103" t="s">
        <v>95</v>
      </c>
      <c r="D160" s="317">
        <v>0.18</v>
      </c>
      <c r="G160" s="598">
        <f>ROUND($D160*G$159,2)</f>
        <v>97448.26</v>
      </c>
    </row>
    <row r="161" spans="2:7" ht="15" customHeight="1" x14ac:dyDescent="0.25">
      <c r="B161" s="236" t="s">
        <v>205</v>
      </c>
      <c r="C161" s="236"/>
      <c r="D161" s="313"/>
      <c r="E161" s="595"/>
      <c r="F161" s="313"/>
      <c r="G161" s="596">
        <f>ROUND(G159+G160,2)</f>
        <v>638827.47</v>
      </c>
    </row>
  </sheetData>
  <mergeCells count="6">
    <mergeCell ref="B1:G1"/>
    <mergeCell ref="C3:G3"/>
    <mergeCell ref="B2:G2"/>
    <mergeCell ref="B10:B11"/>
    <mergeCell ref="C10:C11"/>
    <mergeCell ref="D10:G10"/>
  </mergeCells>
  <phoneticPr fontId="12" type="noConversion"/>
  <printOptions horizontalCentered="1"/>
  <pageMargins left="0.78740157480314965" right="0.59055118110236227" top="0.59055118110236227" bottom="0.59055118110236227" header="0.31496062992125984" footer="0.31496062992125984"/>
  <pageSetup paperSize="9" scale="59" fitToHeight="0" orientation="portrait" horizontalDpi="1200" verticalDpi="12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5BD9-167F-4029-AC95-169ACE9923DA}">
  <sheetPr>
    <tabColor rgb="FF00B050"/>
    <pageSetUpPr fitToPage="1"/>
  </sheetPr>
  <dimension ref="B1:T163"/>
  <sheetViews>
    <sheetView showGridLines="0" showZeros="0" view="pageBreakPreview" zoomScale="80" zoomScaleNormal="100" zoomScaleSheetLayoutView="80" workbookViewId="0">
      <pane ySplit="11" topLeftCell="A12" activePane="bottomLeft" state="frozen"/>
      <selection pane="bottomLeft" activeCell="O9" sqref="O9:P11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5.6640625" style="103" customWidth="1"/>
    <col min="3" max="3" width="80.6640625" style="103" customWidth="1"/>
    <col min="4" max="4" width="9.109375" style="122" bestFit="1" customWidth="1"/>
    <col min="5" max="5" width="10.6640625" style="123" customWidth="1"/>
    <col min="6" max="6" width="11.44140625" style="103" bestFit="1" customWidth="1"/>
    <col min="7" max="7" width="16" style="119" bestFit="1" customWidth="1"/>
    <col min="8" max="8" width="0.88671875" style="119" customWidth="1"/>
    <col min="9" max="9" width="12.6640625" style="119" customWidth="1"/>
    <col min="10" max="10" width="12.6640625" style="103" customWidth="1"/>
    <col min="11" max="11" width="0.88671875" style="119" customWidth="1"/>
    <col min="12" max="13" width="12.6640625" style="103" customWidth="1"/>
    <col min="14" max="14" width="0.88671875" style="103" customWidth="1"/>
    <col min="15" max="16" width="12.6640625" style="103" customWidth="1"/>
    <col min="17" max="17" width="1.6640625" style="104" customWidth="1"/>
    <col min="18" max="18" width="10.33203125" style="103"/>
    <col min="19" max="19" width="10.109375" style="103" bestFit="1" customWidth="1"/>
    <col min="20" max="16384" width="10.33203125" style="103"/>
  </cols>
  <sheetData>
    <row r="1" spans="2:20" s="105" customFormat="1" ht="30" customHeight="1" thickBot="1" x14ac:dyDescent="0.3">
      <c r="B1" s="617" t="s">
        <v>311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9"/>
      <c r="Q1" s="104"/>
      <c r="R1" s="103"/>
      <c r="S1" s="103"/>
      <c r="T1" s="103"/>
    </row>
    <row r="2" spans="2:20" s="105" customFormat="1" ht="1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326"/>
      <c r="O2" s="326"/>
      <c r="P2" s="326"/>
    </row>
    <row r="3" spans="2:20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2:20" s="105" customFormat="1" ht="15" customHeight="1" x14ac:dyDescent="0.25">
      <c r="B4" s="236" t="s">
        <v>583</v>
      </c>
      <c r="C4" s="103" t="str">
        <f>+FT!$E$15</f>
        <v>CONSORCIO EJECUTOR LOS PINOS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spans="2:20" s="105" customFormat="1" ht="15" customHeight="1" x14ac:dyDescent="0.25">
      <c r="B5" s="236" t="s">
        <v>630</v>
      </c>
      <c r="C5" s="103" t="str">
        <f>+FT!$E$34</f>
        <v>PROYECTA PCL S.A.C</v>
      </c>
      <c r="D5" s="104" t="s">
        <v>212</v>
      </c>
      <c r="E5" s="103"/>
      <c r="F5" s="103"/>
      <c r="G5" s="251">
        <f>+FT!$E$24</f>
        <v>638827.47</v>
      </c>
      <c r="H5" s="103"/>
      <c r="I5" s="103"/>
      <c r="J5" s="103"/>
      <c r="K5" s="103"/>
      <c r="L5" s="103"/>
      <c r="M5" s="103"/>
      <c r="N5" s="103"/>
      <c r="O5" s="103"/>
      <c r="P5" s="103"/>
    </row>
    <row r="6" spans="2:20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4" t="s">
        <v>215</v>
      </c>
      <c r="E6" s="103"/>
      <c r="F6" s="103"/>
      <c r="G6" s="251">
        <f>+FT!$E$25</f>
        <v>638827.47</v>
      </c>
      <c r="H6" s="103"/>
      <c r="I6" s="103"/>
      <c r="J6" s="103"/>
      <c r="K6" s="103"/>
      <c r="L6" s="103"/>
      <c r="M6" s="103"/>
      <c r="N6" s="103"/>
      <c r="O6" s="103"/>
      <c r="P6" s="103"/>
    </row>
    <row r="7" spans="2:20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3" t="s">
        <v>214</v>
      </c>
      <c r="E7" s="103"/>
      <c r="G7" s="103" t="str">
        <f>+FT!$E$31</f>
        <v>SESENTA (60) DÍAS CALENDARIOS</v>
      </c>
      <c r="H7" s="103"/>
      <c r="I7" s="103"/>
      <c r="J7" s="103"/>
      <c r="K7" s="103"/>
      <c r="L7" s="103"/>
      <c r="M7" s="103"/>
      <c r="N7" s="103"/>
      <c r="O7" s="103"/>
      <c r="P7" s="103"/>
    </row>
    <row r="8" spans="2:20" ht="7.5" customHeight="1" thickBot="1" x14ac:dyDescent="0.3">
      <c r="D8" s="103"/>
      <c r="E8" s="103"/>
      <c r="G8" s="103"/>
      <c r="H8" s="103"/>
      <c r="I8" s="103"/>
      <c r="K8" s="103"/>
    </row>
    <row r="9" spans="2:20" s="236" customFormat="1" ht="15" customHeight="1" x14ac:dyDescent="0.25">
      <c r="B9" s="643" t="s">
        <v>10</v>
      </c>
      <c r="C9" s="644" t="s">
        <v>16</v>
      </c>
      <c r="D9" s="644" t="s">
        <v>204</v>
      </c>
      <c r="E9" s="644"/>
      <c r="F9" s="644"/>
      <c r="G9" s="645"/>
      <c r="H9" s="628"/>
      <c r="I9" s="654">
        <v>46174</v>
      </c>
      <c r="J9" s="655"/>
      <c r="K9" s="628"/>
      <c r="L9" s="654">
        <v>46204</v>
      </c>
      <c r="M9" s="655"/>
      <c r="N9" s="631"/>
      <c r="O9" s="654">
        <v>46235</v>
      </c>
      <c r="P9" s="655"/>
      <c r="Q9" s="154"/>
    </row>
    <row r="10" spans="2:20" s="236" customFormat="1" ht="15" customHeight="1" x14ac:dyDescent="0.25">
      <c r="B10" s="646"/>
      <c r="C10" s="647"/>
      <c r="D10" s="647"/>
      <c r="E10" s="647"/>
      <c r="F10" s="647"/>
      <c r="G10" s="648"/>
      <c r="H10" s="628"/>
      <c r="I10" s="656">
        <v>46193</v>
      </c>
      <c r="J10" s="657">
        <v>46203</v>
      </c>
      <c r="K10" s="628"/>
      <c r="L10" s="656">
        <v>46204</v>
      </c>
      <c r="M10" s="657">
        <v>46234</v>
      </c>
      <c r="N10" s="634"/>
      <c r="O10" s="656">
        <v>46235</v>
      </c>
      <c r="P10" s="657">
        <v>46253</v>
      </c>
      <c r="Q10" s="154"/>
    </row>
    <row r="11" spans="2:20" s="236" customFormat="1" ht="15" customHeight="1" thickBot="1" x14ac:dyDescent="0.3">
      <c r="B11" s="649"/>
      <c r="C11" s="650"/>
      <c r="D11" s="651" t="s">
        <v>50</v>
      </c>
      <c r="E11" s="652" t="s">
        <v>1</v>
      </c>
      <c r="F11" s="651" t="s">
        <v>55</v>
      </c>
      <c r="G11" s="653" t="s">
        <v>2</v>
      </c>
      <c r="H11" s="635"/>
      <c r="I11" s="658" t="s">
        <v>168</v>
      </c>
      <c r="J11" s="659" t="s">
        <v>100</v>
      </c>
      <c r="K11" s="635"/>
      <c r="L11" s="658" t="s">
        <v>168</v>
      </c>
      <c r="M11" s="659" t="s">
        <v>100</v>
      </c>
      <c r="N11" s="638"/>
      <c r="O11" s="658" t="s">
        <v>168</v>
      </c>
      <c r="P11" s="659" t="s">
        <v>100</v>
      </c>
      <c r="Q11" s="154"/>
    </row>
    <row r="12" spans="2:20" s="107" customFormat="1" ht="15" customHeight="1" x14ac:dyDescent="0.25">
      <c r="B12" s="620" t="s">
        <v>6</v>
      </c>
      <c r="C12" s="621" t="s">
        <v>313</v>
      </c>
      <c r="D12" s="622"/>
      <c r="E12" s="623"/>
      <c r="F12" s="624"/>
      <c r="G12" s="383"/>
      <c r="H12" s="375"/>
      <c r="I12" s="625"/>
      <c r="J12" s="626"/>
      <c r="K12" s="456"/>
      <c r="L12" s="625"/>
      <c r="M12" s="627"/>
      <c r="N12" s="461"/>
      <c r="O12" s="625"/>
      <c r="P12" s="627"/>
      <c r="Q12" s="108"/>
      <c r="R12" s="108"/>
    </row>
    <row r="13" spans="2:20" s="110" customFormat="1" ht="15" customHeight="1" x14ac:dyDescent="0.25">
      <c r="B13" s="441" t="s">
        <v>171</v>
      </c>
      <c r="C13" s="386" t="s">
        <v>314</v>
      </c>
      <c r="D13" s="380"/>
      <c r="E13" s="381"/>
      <c r="F13" s="382"/>
      <c r="G13" s="305"/>
      <c r="H13" s="376"/>
      <c r="I13" s="151"/>
      <c r="J13" s="152"/>
      <c r="K13" s="376"/>
      <c r="L13" s="151"/>
      <c r="M13" s="152"/>
      <c r="N13" s="462"/>
      <c r="O13" s="151"/>
      <c r="P13" s="152"/>
      <c r="Q13" s="111"/>
      <c r="R13" s="111"/>
    </row>
    <row r="14" spans="2:20" s="113" customFormat="1" ht="15" customHeight="1" x14ac:dyDescent="0.25">
      <c r="B14" s="442" t="s">
        <v>315</v>
      </c>
      <c r="C14" s="387" t="s">
        <v>224</v>
      </c>
      <c r="D14" s="380"/>
      <c r="E14" s="381"/>
      <c r="F14" s="382"/>
      <c r="G14" s="305"/>
      <c r="H14" s="376"/>
      <c r="I14" s="151"/>
      <c r="J14" s="152"/>
      <c r="K14" s="376"/>
      <c r="L14" s="151"/>
      <c r="M14" s="152"/>
      <c r="N14" s="462"/>
      <c r="O14" s="151"/>
      <c r="P14" s="152"/>
      <c r="Q14" s="114"/>
      <c r="R14" s="114"/>
    </row>
    <row r="15" spans="2:20" s="116" customFormat="1" ht="15" customHeight="1" x14ac:dyDescent="0.25">
      <c r="B15" s="443" t="s">
        <v>316</v>
      </c>
      <c r="C15" s="388" t="s">
        <v>317</v>
      </c>
      <c r="D15" s="380" t="s">
        <v>318</v>
      </c>
      <c r="E15" s="381">
        <v>2</v>
      </c>
      <c r="F15" s="382">
        <v>2400</v>
      </c>
      <c r="G15" s="305">
        <f>ROUND(E15*F15,2)</f>
        <v>4800</v>
      </c>
      <c r="H15" s="376"/>
      <c r="I15" s="151">
        <f>ROUND(J15/$G15,4)</f>
        <v>0.33329999999999999</v>
      </c>
      <c r="J15" s="152">
        <v>1600</v>
      </c>
      <c r="K15" s="376"/>
      <c r="L15" s="151">
        <f>ROUND(M15/$G15,4)</f>
        <v>0.33329999999999999</v>
      </c>
      <c r="M15" s="152">
        <v>1600</v>
      </c>
      <c r="N15" s="462"/>
      <c r="O15" s="151">
        <f>ROUND(P15/$G15,4)</f>
        <v>0.33329999999999999</v>
      </c>
      <c r="P15" s="152">
        <v>1600</v>
      </c>
      <c r="Q15" s="117"/>
      <c r="R15" s="117"/>
    </row>
    <row r="16" spans="2:20" s="104" customFormat="1" ht="15" customHeight="1" x14ac:dyDescent="0.25">
      <c r="B16" s="443" t="s">
        <v>319</v>
      </c>
      <c r="C16" s="389" t="s">
        <v>320</v>
      </c>
      <c r="D16" s="380" t="s">
        <v>233</v>
      </c>
      <c r="E16" s="381">
        <v>1</v>
      </c>
      <c r="F16" s="382">
        <v>1205.49</v>
      </c>
      <c r="G16" s="305">
        <f t="shared" ref="G16:G17" si="0">ROUND(E16*F16,2)</f>
        <v>1205.49</v>
      </c>
      <c r="H16" s="376"/>
      <c r="I16" s="151">
        <f t="shared" ref="I16:I17" si="1">ROUND(J16/$G16,4)</f>
        <v>1</v>
      </c>
      <c r="J16" s="152">
        <v>1205.49</v>
      </c>
      <c r="K16" s="376"/>
      <c r="L16" s="151">
        <f t="shared" ref="L16:L17" si="2">ROUND(M16/$G16,4)</f>
        <v>0</v>
      </c>
      <c r="M16" s="152"/>
      <c r="N16" s="462"/>
      <c r="O16" s="151">
        <f t="shared" ref="O16:O17" si="3">ROUND(P16/$G16,4)</f>
        <v>0</v>
      </c>
      <c r="P16" s="152"/>
      <c r="Q16" s="118"/>
      <c r="R16" s="118"/>
    </row>
    <row r="17" spans="2:18" s="104" customFormat="1" ht="15" customHeight="1" x14ac:dyDescent="0.25">
      <c r="B17" s="443" t="s">
        <v>321</v>
      </c>
      <c r="C17" s="388" t="s">
        <v>322</v>
      </c>
      <c r="D17" s="380" t="s">
        <v>318</v>
      </c>
      <c r="E17" s="381">
        <v>2</v>
      </c>
      <c r="F17" s="382">
        <v>850</v>
      </c>
      <c r="G17" s="305">
        <f t="shared" si="0"/>
        <v>1700</v>
      </c>
      <c r="H17" s="376"/>
      <c r="I17" s="151">
        <f t="shared" si="1"/>
        <v>0.18329999999999999</v>
      </c>
      <c r="J17" s="152">
        <v>311.66666666666663</v>
      </c>
      <c r="K17" s="376"/>
      <c r="L17" s="151">
        <f t="shared" si="2"/>
        <v>0.51670000000000005</v>
      </c>
      <c r="M17" s="152">
        <v>878.33333333333337</v>
      </c>
      <c r="N17" s="462"/>
      <c r="O17" s="151">
        <f t="shared" si="3"/>
        <v>0.3</v>
      </c>
      <c r="P17" s="152">
        <v>510</v>
      </c>
      <c r="Q17" s="118"/>
      <c r="R17" s="118"/>
    </row>
    <row r="18" spans="2:18" s="116" customFormat="1" ht="15" customHeight="1" x14ac:dyDescent="0.25">
      <c r="B18" s="442" t="s">
        <v>323</v>
      </c>
      <c r="C18" s="387" t="s">
        <v>225</v>
      </c>
      <c r="D18" s="390"/>
      <c r="E18" s="391"/>
      <c r="F18" s="392"/>
      <c r="G18" s="305">
        <f>ROUND(E18*F18,2)</f>
        <v>0</v>
      </c>
      <c r="H18" s="376"/>
      <c r="I18" s="151"/>
      <c r="J18" s="152"/>
      <c r="K18" s="376"/>
      <c r="L18" s="151"/>
      <c r="M18" s="152"/>
      <c r="N18" s="462"/>
      <c r="O18" s="151"/>
      <c r="P18" s="152"/>
      <c r="Q18" s="117"/>
      <c r="R18" s="117"/>
    </row>
    <row r="19" spans="2:18" s="104" customFormat="1" ht="15" customHeight="1" x14ac:dyDescent="0.25">
      <c r="B19" s="443" t="s">
        <v>324</v>
      </c>
      <c r="C19" s="388" t="s">
        <v>229</v>
      </c>
      <c r="D19" s="380" t="s">
        <v>101</v>
      </c>
      <c r="E19" s="381">
        <v>1932.21</v>
      </c>
      <c r="F19" s="382">
        <v>1.06</v>
      </c>
      <c r="G19" s="305">
        <f t="shared" ref="G19:G24" si="4">ROUND(E19*F19,2)</f>
        <v>2048.14</v>
      </c>
      <c r="H19" s="376"/>
      <c r="I19" s="151">
        <f t="shared" ref="I19:I21" si="5">ROUND(J19/$G19,4)</f>
        <v>1</v>
      </c>
      <c r="J19" s="152">
        <v>2048.14</v>
      </c>
      <c r="K19" s="376"/>
      <c r="L19" s="151">
        <f t="shared" ref="L19:L21" si="6">ROUND(M19/$G19,4)</f>
        <v>0</v>
      </c>
      <c r="M19" s="152"/>
      <c r="N19" s="462"/>
      <c r="O19" s="151">
        <f t="shared" ref="O19:O21" si="7">ROUND(P19/$G19,4)</f>
        <v>0</v>
      </c>
      <c r="P19" s="152"/>
      <c r="Q19" s="118"/>
      <c r="R19" s="118"/>
    </row>
    <row r="20" spans="2:18" s="104" customFormat="1" ht="15" customHeight="1" x14ac:dyDescent="0.25">
      <c r="B20" s="443" t="s">
        <v>325</v>
      </c>
      <c r="C20" s="388" t="s">
        <v>230</v>
      </c>
      <c r="D20" s="380" t="s">
        <v>101</v>
      </c>
      <c r="E20" s="381">
        <v>1932.21</v>
      </c>
      <c r="F20" s="382">
        <v>4.32</v>
      </c>
      <c r="G20" s="305">
        <f t="shared" si="4"/>
        <v>8347.15</v>
      </c>
      <c r="H20" s="376"/>
      <c r="I20" s="151">
        <f t="shared" si="5"/>
        <v>0.1046</v>
      </c>
      <c r="J20" s="152">
        <v>873.44</v>
      </c>
      <c r="K20" s="376"/>
      <c r="L20" s="151">
        <f t="shared" si="6"/>
        <v>0.45390000000000003</v>
      </c>
      <c r="M20" s="152">
        <v>3789.15</v>
      </c>
      <c r="N20" s="462"/>
      <c r="O20" s="151">
        <f t="shared" si="7"/>
        <v>0.44140000000000001</v>
      </c>
      <c r="P20" s="152">
        <v>3684.56</v>
      </c>
      <c r="Q20" s="118"/>
      <c r="R20" s="118"/>
    </row>
    <row r="21" spans="2:18" s="116" customFormat="1" ht="15" customHeight="1" x14ac:dyDescent="0.25">
      <c r="B21" s="443" t="s">
        <v>326</v>
      </c>
      <c r="C21" s="388" t="s">
        <v>327</v>
      </c>
      <c r="D21" s="380" t="s">
        <v>5</v>
      </c>
      <c r="E21" s="381">
        <v>1</v>
      </c>
      <c r="F21" s="382">
        <v>2500</v>
      </c>
      <c r="G21" s="305">
        <f t="shared" si="4"/>
        <v>2500</v>
      </c>
      <c r="H21" s="376"/>
      <c r="I21" s="151">
        <f t="shared" si="5"/>
        <v>1</v>
      </c>
      <c r="J21" s="152">
        <v>2500</v>
      </c>
      <c r="K21" s="376"/>
      <c r="L21" s="151">
        <f t="shared" si="6"/>
        <v>0</v>
      </c>
      <c r="M21" s="152"/>
      <c r="N21" s="462"/>
      <c r="O21" s="151">
        <f t="shared" si="7"/>
        <v>0</v>
      </c>
      <c r="P21" s="152"/>
      <c r="Q21" s="117"/>
      <c r="R21" s="117"/>
    </row>
    <row r="22" spans="2:18" s="104" customFormat="1" ht="15" customHeight="1" x14ac:dyDescent="0.25">
      <c r="B22" s="442" t="s">
        <v>328</v>
      </c>
      <c r="C22" s="387" t="s">
        <v>329</v>
      </c>
      <c r="D22" s="390"/>
      <c r="E22" s="391"/>
      <c r="F22" s="392"/>
      <c r="G22" s="305">
        <f t="shared" si="4"/>
        <v>0</v>
      </c>
      <c r="H22" s="377"/>
      <c r="I22" s="151"/>
      <c r="J22" s="152"/>
      <c r="K22" s="457"/>
      <c r="L22" s="151"/>
      <c r="M22" s="152"/>
      <c r="N22" s="462"/>
      <c r="O22" s="151"/>
      <c r="P22" s="152"/>
      <c r="Q22" s="118"/>
      <c r="R22" s="118"/>
    </row>
    <row r="23" spans="2:18" s="116" customFormat="1" ht="15" customHeight="1" x14ac:dyDescent="0.25">
      <c r="B23" s="443" t="s">
        <v>330</v>
      </c>
      <c r="C23" s="388" t="s">
        <v>331</v>
      </c>
      <c r="D23" s="380" t="s">
        <v>101</v>
      </c>
      <c r="E23" s="381">
        <v>135.5</v>
      </c>
      <c r="F23" s="382">
        <v>21.33</v>
      </c>
      <c r="G23" s="305">
        <f t="shared" si="4"/>
        <v>2890.22</v>
      </c>
      <c r="H23" s="376"/>
      <c r="I23" s="151">
        <f t="shared" ref="I23:I24" si="8">ROUND(J23/$G23,4)</f>
        <v>1</v>
      </c>
      <c r="J23" s="152">
        <v>2890.22</v>
      </c>
      <c r="K23" s="376"/>
      <c r="L23" s="151">
        <f t="shared" ref="L23:L24" si="9">ROUND(M23/$G23,4)</f>
        <v>0</v>
      </c>
      <c r="M23" s="152"/>
      <c r="N23" s="462"/>
      <c r="O23" s="151">
        <f t="shared" ref="O23:O24" si="10">ROUND(P23/$G23,4)</f>
        <v>0</v>
      </c>
      <c r="P23" s="152"/>
      <c r="Q23" s="117"/>
      <c r="R23" s="117"/>
    </row>
    <row r="24" spans="2:18" s="120" customFormat="1" ht="15" customHeight="1" x14ac:dyDescent="0.25">
      <c r="B24" s="443" t="s">
        <v>332</v>
      </c>
      <c r="C24" s="389" t="s">
        <v>333</v>
      </c>
      <c r="D24" s="380" t="s">
        <v>234</v>
      </c>
      <c r="E24" s="381">
        <v>20.329999999999998</v>
      </c>
      <c r="F24" s="382">
        <v>18.98</v>
      </c>
      <c r="G24" s="305">
        <f t="shared" si="4"/>
        <v>385.86</v>
      </c>
      <c r="H24" s="377"/>
      <c r="I24" s="151">
        <f t="shared" si="8"/>
        <v>1</v>
      </c>
      <c r="J24" s="152">
        <v>385.86</v>
      </c>
      <c r="K24" s="457"/>
      <c r="L24" s="151">
        <f t="shared" si="9"/>
        <v>0</v>
      </c>
      <c r="M24" s="152"/>
      <c r="N24" s="462"/>
      <c r="O24" s="151">
        <f t="shared" si="10"/>
        <v>0</v>
      </c>
      <c r="P24" s="152"/>
      <c r="Q24" s="121"/>
      <c r="R24" s="121"/>
    </row>
    <row r="25" spans="2:18" s="104" customFormat="1" ht="15" customHeight="1" x14ac:dyDescent="0.25">
      <c r="B25" s="442" t="s">
        <v>334</v>
      </c>
      <c r="C25" s="387" t="s">
        <v>335</v>
      </c>
      <c r="D25" s="390"/>
      <c r="E25" s="391"/>
      <c r="F25" s="392"/>
      <c r="G25" s="305"/>
      <c r="H25" s="376"/>
      <c r="I25" s="151"/>
      <c r="J25" s="152"/>
      <c r="K25" s="376"/>
      <c r="L25" s="151"/>
      <c r="M25" s="152"/>
      <c r="N25" s="462"/>
      <c r="O25" s="151"/>
      <c r="P25" s="152"/>
      <c r="Q25" s="118"/>
      <c r="R25" s="118"/>
    </row>
    <row r="26" spans="2:18" s="104" customFormat="1" ht="15" customHeight="1" x14ac:dyDescent="0.25">
      <c r="B26" s="443" t="s">
        <v>336</v>
      </c>
      <c r="C26" s="388" t="s">
        <v>337</v>
      </c>
      <c r="D26" s="380" t="s">
        <v>233</v>
      </c>
      <c r="E26" s="381">
        <v>2</v>
      </c>
      <c r="F26" s="382">
        <v>221.35</v>
      </c>
      <c r="G26" s="305">
        <f t="shared" ref="G26:G28" si="11">ROUND(E26*F26,2)</f>
        <v>442.7</v>
      </c>
      <c r="H26" s="377"/>
      <c r="I26" s="151">
        <f t="shared" ref="I26:I27" si="12">ROUND(J26/$G26,4)</f>
        <v>1</v>
      </c>
      <c r="J26" s="152">
        <v>442.7</v>
      </c>
      <c r="K26" s="457"/>
      <c r="L26" s="151">
        <f t="shared" ref="L26:L27" si="13">ROUND(M26/$G26,4)</f>
        <v>0</v>
      </c>
      <c r="M26" s="152"/>
      <c r="N26" s="462"/>
      <c r="O26" s="151">
        <f t="shared" ref="O26:O27" si="14">ROUND(P26/$G26,4)</f>
        <v>0</v>
      </c>
      <c r="P26" s="152"/>
      <c r="Q26" s="118"/>
      <c r="R26" s="118"/>
    </row>
    <row r="27" spans="2:18" s="104" customFormat="1" ht="15" customHeight="1" x14ac:dyDescent="0.25">
      <c r="B27" s="443" t="s">
        <v>338</v>
      </c>
      <c r="C27" s="389" t="s">
        <v>339</v>
      </c>
      <c r="D27" s="380" t="s">
        <v>5</v>
      </c>
      <c r="E27" s="381">
        <v>1</v>
      </c>
      <c r="F27" s="382">
        <v>221.16</v>
      </c>
      <c r="G27" s="305">
        <f t="shared" si="11"/>
        <v>221.16</v>
      </c>
      <c r="H27" s="377"/>
      <c r="I27" s="151">
        <f t="shared" si="12"/>
        <v>1</v>
      </c>
      <c r="J27" s="152">
        <v>221.16</v>
      </c>
      <c r="K27" s="457"/>
      <c r="L27" s="151">
        <f t="shared" si="13"/>
        <v>0</v>
      </c>
      <c r="M27" s="152"/>
      <c r="N27" s="462"/>
      <c r="O27" s="151">
        <f t="shared" si="14"/>
        <v>0</v>
      </c>
      <c r="P27" s="152"/>
      <c r="Q27" s="118"/>
      <c r="R27" s="118"/>
    </row>
    <row r="28" spans="2:18" s="104" customFormat="1" ht="15" customHeight="1" x14ac:dyDescent="0.25">
      <c r="B28" s="441" t="s">
        <v>340</v>
      </c>
      <c r="C28" s="386" t="s">
        <v>341</v>
      </c>
      <c r="D28" s="393"/>
      <c r="E28" s="394"/>
      <c r="F28" s="395"/>
      <c r="G28" s="305">
        <f t="shared" si="11"/>
        <v>0</v>
      </c>
      <c r="H28" s="377"/>
      <c r="I28" s="151"/>
      <c r="J28" s="152"/>
      <c r="K28" s="457"/>
      <c r="L28" s="151"/>
      <c r="M28" s="152"/>
      <c r="N28" s="462"/>
      <c r="O28" s="151"/>
      <c r="P28" s="152"/>
      <c r="Q28" s="118"/>
      <c r="R28" s="118"/>
    </row>
    <row r="29" spans="2:18" s="104" customFormat="1" ht="15" customHeight="1" x14ac:dyDescent="0.25">
      <c r="B29" s="442" t="s">
        <v>342</v>
      </c>
      <c r="C29" s="387" t="s">
        <v>343</v>
      </c>
      <c r="D29" s="390"/>
      <c r="E29" s="391"/>
      <c r="F29" s="392"/>
      <c r="G29" s="306"/>
      <c r="H29" s="377"/>
      <c r="I29" s="151"/>
      <c r="J29" s="152"/>
      <c r="K29" s="457"/>
      <c r="L29" s="151"/>
      <c r="M29" s="152"/>
      <c r="N29" s="462"/>
      <c r="O29" s="151"/>
      <c r="P29" s="152"/>
      <c r="Q29" s="118"/>
      <c r="R29" s="118"/>
    </row>
    <row r="30" spans="2:18" s="104" customFormat="1" ht="15" customHeight="1" x14ac:dyDescent="0.25">
      <c r="B30" s="443" t="s">
        <v>344</v>
      </c>
      <c r="C30" s="388" t="s">
        <v>345</v>
      </c>
      <c r="D30" s="380" t="s">
        <v>234</v>
      </c>
      <c r="E30" s="381">
        <v>590.54</v>
      </c>
      <c r="F30" s="382">
        <v>10.47</v>
      </c>
      <c r="G30" s="305">
        <f t="shared" ref="G30:G33" si="15">ROUND(E30*F30,2)</f>
        <v>6182.95</v>
      </c>
      <c r="H30" s="377"/>
      <c r="I30" s="151">
        <f t="shared" ref="I30:I32" si="16">ROUND(J30/$G30,4)</f>
        <v>1</v>
      </c>
      <c r="J30" s="152">
        <v>6182.95</v>
      </c>
      <c r="K30" s="457"/>
      <c r="L30" s="151">
        <f t="shared" ref="L30:L32" si="17">ROUND(M30/$G30,4)</f>
        <v>0</v>
      </c>
      <c r="M30" s="152"/>
      <c r="N30" s="462"/>
      <c r="O30" s="151">
        <f t="shared" ref="O30:O32" si="18">ROUND(P30/$G30,4)</f>
        <v>0</v>
      </c>
      <c r="P30" s="152"/>
      <c r="Q30" s="118"/>
      <c r="R30" s="118"/>
    </row>
    <row r="31" spans="2:18" s="104" customFormat="1" ht="15" customHeight="1" x14ac:dyDescent="0.25">
      <c r="B31" s="443" t="s">
        <v>346</v>
      </c>
      <c r="C31" s="388" t="s">
        <v>347</v>
      </c>
      <c r="D31" s="380" t="s">
        <v>234</v>
      </c>
      <c r="E31" s="381">
        <v>51.64</v>
      </c>
      <c r="F31" s="382">
        <v>19.04</v>
      </c>
      <c r="G31" s="305">
        <f t="shared" si="15"/>
        <v>983.23</v>
      </c>
      <c r="H31" s="377"/>
      <c r="I31" s="151">
        <f t="shared" si="16"/>
        <v>1</v>
      </c>
      <c r="J31" s="152">
        <v>983.23</v>
      </c>
      <c r="K31" s="457"/>
      <c r="L31" s="151">
        <f t="shared" si="17"/>
        <v>0</v>
      </c>
      <c r="M31" s="152"/>
      <c r="N31" s="462"/>
      <c r="O31" s="151">
        <f t="shared" si="18"/>
        <v>0</v>
      </c>
      <c r="P31" s="152"/>
      <c r="Q31" s="118"/>
      <c r="R31" s="118"/>
    </row>
    <row r="32" spans="2:18" s="104" customFormat="1" ht="15" customHeight="1" x14ac:dyDescent="0.25">
      <c r="B32" s="443" t="s">
        <v>348</v>
      </c>
      <c r="C32" s="389" t="s">
        <v>349</v>
      </c>
      <c r="D32" s="380" t="s">
        <v>234</v>
      </c>
      <c r="E32" s="381">
        <v>738.18</v>
      </c>
      <c r="F32" s="382">
        <v>18.98</v>
      </c>
      <c r="G32" s="305">
        <f t="shared" si="15"/>
        <v>14010.66</v>
      </c>
      <c r="H32" s="377"/>
      <c r="I32" s="151">
        <f t="shared" si="16"/>
        <v>0</v>
      </c>
      <c r="J32" s="152"/>
      <c r="K32" s="457"/>
      <c r="L32" s="151">
        <f t="shared" si="17"/>
        <v>1</v>
      </c>
      <c r="M32" s="152">
        <v>14010.66</v>
      </c>
      <c r="N32" s="462"/>
      <c r="O32" s="151">
        <f t="shared" si="18"/>
        <v>0</v>
      </c>
      <c r="P32" s="152"/>
      <c r="Q32" s="118"/>
      <c r="R32" s="118"/>
    </row>
    <row r="33" spans="2:18" s="104" customFormat="1" ht="15" customHeight="1" x14ac:dyDescent="0.25">
      <c r="B33" s="442" t="s">
        <v>350</v>
      </c>
      <c r="C33" s="387" t="s">
        <v>351</v>
      </c>
      <c r="D33" s="390"/>
      <c r="E33" s="391"/>
      <c r="F33" s="392"/>
      <c r="G33" s="305">
        <f t="shared" si="15"/>
        <v>0</v>
      </c>
      <c r="H33" s="377"/>
      <c r="I33" s="151"/>
      <c r="J33" s="152"/>
      <c r="K33" s="457"/>
      <c r="L33" s="151"/>
      <c r="M33" s="152"/>
      <c r="N33" s="462"/>
      <c r="O33" s="151"/>
      <c r="P33" s="152"/>
      <c r="Q33" s="118"/>
      <c r="R33" s="118"/>
    </row>
    <row r="34" spans="2:18" s="104" customFormat="1" ht="15" customHeight="1" x14ac:dyDescent="0.25">
      <c r="B34" s="443" t="s">
        <v>352</v>
      </c>
      <c r="C34" s="388" t="s">
        <v>353</v>
      </c>
      <c r="D34" s="380" t="s">
        <v>101</v>
      </c>
      <c r="E34" s="381">
        <v>910.14</v>
      </c>
      <c r="F34" s="382">
        <v>31.15</v>
      </c>
      <c r="G34" s="305">
        <f>ROUND(E34*F34,2)</f>
        <v>28350.86</v>
      </c>
      <c r="H34" s="377"/>
      <c r="I34" s="151">
        <f>ROUND(J34/$G34,4)</f>
        <v>1</v>
      </c>
      <c r="J34" s="152">
        <v>28350.86</v>
      </c>
      <c r="K34" s="457"/>
      <c r="L34" s="151">
        <f>ROUND(M34/$G34,4)</f>
        <v>0</v>
      </c>
      <c r="M34" s="152"/>
      <c r="N34" s="462"/>
      <c r="O34" s="151">
        <f>ROUND(P34/$G34,4)</f>
        <v>0</v>
      </c>
      <c r="P34" s="152"/>
      <c r="Q34" s="118"/>
      <c r="R34" s="118"/>
    </row>
    <row r="35" spans="2:18" s="104" customFormat="1" ht="15" customHeight="1" x14ac:dyDescent="0.25">
      <c r="B35" s="442" t="s">
        <v>354</v>
      </c>
      <c r="C35" s="387" t="s">
        <v>355</v>
      </c>
      <c r="D35" s="390"/>
      <c r="E35" s="391"/>
      <c r="F35" s="392"/>
      <c r="G35" s="305">
        <f>ROUND(E35*F35,2)</f>
        <v>0</v>
      </c>
      <c r="H35" s="377"/>
      <c r="I35" s="151"/>
      <c r="J35" s="152"/>
      <c r="K35" s="457"/>
      <c r="L35" s="151"/>
      <c r="M35" s="152"/>
      <c r="N35" s="462"/>
      <c r="O35" s="151"/>
      <c r="P35" s="152"/>
      <c r="Q35" s="118"/>
      <c r="R35" s="118"/>
    </row>
    <row r="36" spans="2:18" s="104" customFormat="1" ht="15" customHeight="1" x14ac:dyDescent="0.25">
      <c r="B36" s="443" t="s">
        <v>356</v>
      </c>
      <c r="C36" s="388" t="s">
        <v>357</v>
      </c>
      <c r="D36" s="380" t="s">
        <v>101</v>
      </c>
      <c r="E36" s="381">
        <v>910.14</v>
      </c>
      <c r="F36" s="382">
        <v>5.54</v>
      </c>
      <c r="G36" s="305">
        <f>ROUND(E36*F36,2)</f>
        <v>5042.18</v>
      </c>
      <c r="H36" s="377"/>
      <c r="I36" s="151">
        <f>ROUND(J36/$G36,4)</f>
        <v>1</v>
      </c>
      <c r="J36" s="152">
        <v>5042.18</v>
      </c>
      <c r="K36" s="457"/>
      <c r="L36" s="151">
        <f>ROUND(M36/$G36,4)</f>
        <v>0</v>
      </c>
      <c r="M36" s="152"/>
      <c r="N36" s="462"/>
      <c r="O36" s="151">
        <f>ROUND(P36/$G36,4)</f>
        <v>0</v>
      </c>
      <c r="P36" s="152"/>
      <c r="Q36" s="118"/>
      <c r="R36" s="118"/>
    </row>
    <row r="37" spans="2:18" s="104" customFormat="1" ht="15" customHeight="1" x14ac:dyDescent="0.25">
      <c r="B37" s="442" t="s">
        <v>358</v>
      </c>
      <c r="C37" s="387" t="s">
        <v>359</v>
      </c>
      <c r="D37" s="390"/>
      <c r="E37" s="391"/>
      <c r="F37" s="392"/>
      <c r="G37" s="305">
        <f t="shared" ref="G37:G45" si="19">ROUND(E37*F37,2)</f>
        <v>0</v>
      </c>
      <c r="H37" s="377"/>
      <c r="I37" s="151"/>
      <c r="J37" s="152"/>
      <c r="K37" s="457"/>
      <c r="L37" s="151"/>
      <c r="M37" s="152"/>
      <c r="N37" s="462"/>
      <c r="O37" s="151"/>
      <c r="P37" s="152"/>
      <c r="Q37" s="118"/>
      <c r="R37" s="118"/>
    </row>
    <row r="38" spans="2:18" s="104" customFormat="1" ht="15" customHeight="1" x14ac:dyDescent="0.25">
      <c r="B38" s="443" t="s">
        <v>360</v>
      </c>
      <c r="C38" s="388" t="s">
        <v>361</v>
      </c>
      <c r="D38" s="380" t="s">
        <v>101</v>
      </c>
      <c r="E38" s="381">
        <v>127.29</v>
      </c>
      <c r="F38" s="382">
        <v>63.41</v>
      </c>
      <c r="G38" s="305">
        <f t="shared" si="19"/>
        <v>8071.46</v>
      </c>
      <c r="H38" s="377"/>
      <c r="I38" s="151">
        <f t="shared" ref="I38:I45" si="20">ROUND(J38/$G38,4)</f>
        <v>1</v>
      </c>
      <c r="J38" s="152">
        <v>8071.46</v>
      </c>
      <c r="K38" s="457"/>
      <c r="L38" s="151">
        <f t="shared" ref="L38:L45" si="21">ROUND(M38/$G38,4)</f>
        <v>0</v>
      </c>
      <c r="M38" s="152"/>
      <c r="N38" s="462"/>
      <c r="O38" s="151">
        <f t="shared" ref="O38:O45" si="22">ROUND(P38/$G38,4)</f>
        <v>0</v>
      </c>
      <c r="P38" s="152"/>
      <c r="Q38" s="118"/>
      <c r="R38" s="118"/>
    </row>
    <row r="39" spans="2:18" s="104" customFormat="1" ht="15" customHeight="1" x14ac:dyDescent="0.25">
      <c r="B39" s="443" t="s">
        <v>362</v>
      </c>
      <c r="C39" s="388" t="s">
        <v>363</v>
      </c>
      <c r="D39" s="380" t="s">
        <v>101</v>
      </c>
      <c r="E39" s="381">
        <v>910.14</v>
      </c>
      <c r="F39" s="382">
        <v>119.99</v>
      </c>
      <c r="G39" s="305">
        <f t="shared" si="19"/>
        <v>109207.7</v>
      </c>
      <c r="H39" s="377"/>
      <c r="I39" s="151">
        <f t="shared" si="20"/>
        <v>7.8700000000000006E-2</v>
      </c>
      <c r="J39" s="152">
        <v>8593.32</v>
      </c>
      <c r="K39" s="457"/>
      <c r="L39" s="151">
        <f t="shared" si="21"/>
        <v>0.92130000000000001</v>
      </c>
      <c r="M39" s="152">
        <v>100614.38</v>
      </c>
      <c r="N39" s="462"/>
      <c r="O39" s="151">
        <f t="shared" si="22"/>
        <v>0</v>
      </c>
      <c r="P39" s="152"/>
      <c r="Q39" s="118"/>
      <c r="R39" s="118"/>
    </row>
    <row r="40" spans="2:18" s="104" customFormat="1" ht="15" customHeight="1" x14ac:dyDescent="0.25">
      <c r="B40" s="443" t="s">
        <v>364</v>
      </c>
      <c r="C40" s="388" t="s">
        <v>365</v>
      </c>
      <c r="D40" s="380" t="s">
        <v>101</v>
      </c>
      <c r="E40" s="381">
        <v>910.14</v>
      </c>
      <c r="F40" s="382">
        <v>2.92</v>
      </c>
      <c r="G40" s="305">
        <f t="shared" si="19"/>
        <v>2657.61</v>
      </c>
      <c r="H40" s="377"/>
      <c r="I40" s="151">
        <f t="shared" si="20"/>
        <v>0</v>
      </c>
      <c r="J40" s="152"/>
      <c r="K40" s="457"/>
      <c r="L40" s="151">
        <f t="shared" si="21"/>
        <v>1</v>
      </c>
      <c r="M40" s="152">
        <v>2657.61</v>
      </c>
      <c r="N40" s="462"/>
      <c r="O40" s="151">
        <f t="shared" si="22"/>
        <v>0</v>
      </c>
      <c r="P40" s="152"/>
      <c r="Q40" s="118"/>
      <c r="R40" s="118"/>
    </row>
    <row r="41" spans="2:18" s="104" customFormat="1" ht="15" customHeight="1" x14ac:dyDescent="0.25">
      <c r="B41" s="443" t="s">
        <v>366</v>
      </c>
      <c r="C41" s="389" t="s">
        <v>367</v>
      </c>
      <c r="D41" s="380" t="s">
        <v>102</v>
      </c>
      <c r="E41" s="381">
        <v>80.64</v>
      </c>
      <c r="F41" s="382">
        <v>12.14</v>
      </c>
      <c r="G41" s="305">
        <f t="shared" si="19"/>
        <v>978.97</v>
      </c>
      <c r="H41" s="377"/>
      <c r="I41" s="151">
        <f t="shared" si="20"/>
        <v>1</v>
      </c>
      <c r="J41" s="152">
        <v>978.97</v>
      </c>
      <c r="K41" s="457"/>
      <c r="L41" s="151">
        <f t="shared" si="21"/>
        <v>0</v>
      </c>
      <c r="M41" s="152"/>
      <c r="N41" s="462"/>
      <c r="O41" s="151">
        <f t="shared" si="22"/>
        <v>0</v>
      </c>
      <c r="P41" s="152"/>
      <c r="Q41" s="118"/>
      <c r="R41" s="118"/>
    </row>
    <row r="42" spans="2:18" s="104" customFormat="1" ht="15" customHeight="1" x14ac:dyDescent="0.25">
      <c r="B42" s="443" t="s">
        <v>368</v>
      </c>
      <c r="C42" s="389" t="s">
        <v>369</v>
      </c>
      <c r="D42" s="380" t="s">
        <v>102</v>
      </c>
      <c r="E42" s="381">
        <v>176.4</v>
      </c>
      <c r="F42" s="382">
        <v>42.88</v>
      </c>
      <c r="G42" s="305">
        <f t="shared" si="19"/>
        <v>7564.03</v>
      </c>
      <c r="H42" s="377"/>
      <c r="I42" s="151">
        <f t="shared" si="20"/>
        <v>1</v>
      </c>
      <c r="J42" s="152">
        <v>7564.03</v>
      </c>
      <c r="K42" s="457"/>
      <c r="L42" s="151">
        <f t="shared" si="21"/>
        <v>0</v>
      </c>
      <c r="M42" s="152"/>
      <c r="N42" s="462"/>
      <c r="O42" s="151">
        <f t="shared" si="22"/>
        <v>0</v>
      </c>
      <c r="P42" s="152"/>
      <c r="Q42" s="118"/>
      <c r="R42" s="118"/>
    </row>
    <row r="43" spans="2:18" s="104" customFormat="1" ht="15" customHeight="1" x14ac:dyDescent="0.25">
      <c r="B43" s="443" t="s">
        <v>370</v>
      </c>
      <c r="C43" s="388" t="s">
        <v>371</v>
      </c>
      <c r="D43" s="380" t="s">
        <v>145</v>
      </c>
      <c r="E43" s="381">
        <v>360</v>
      </c>
      <c r="F43" s="382">
        <v>5.59</v>
      </c>
      <c r="G43" s="305">
        <f t="shared" si="19"/>
        <v>2012.4</v>
      </c>
      <c r="H43" s="377"/>
      <c r="I43" s="151">
        <f t="shared" si="20"/>
        <v>0</v>
      </c>
      <c r="J43" s="152"/>
      <c r="K43" s="457"/>
      <c r="L43" s="151">
        <f t="shared" si="21"/>
        <v>1</v>
      </c>
      <c r="M43" s="152">
        <v>2012.4</v>
      </c>
      <c r="N43" s="462"/>
      <c r="O43" s="151">
        <f t="shared" si="22"/>
        <v>0</v>
      </c>
      <c r="P43" s="152"/>
      <c r="Q43" s="118"/>
      <c r="R43" s="118"/>
    </row>
    <row r="44" spans="2:18" s="104" customFormat="1" ht="15" customHeight="1" x14ac:dyDescent="0.25">
      <c r="B44" s="443" t="s">
        <v>372</v>
      </c>
      <c r="C44" s="388" t="s">
        <v>373</v>
      </c>
      <c r="D44" s="380" t="s">
        <v>145</v>
      </c>
      <c r="E44" s="381">
        <v>255</v>
      </c>
      <c r="F44" s="382">
        <v>5.59</v>
      </c>
      <c r="G44" s="305">
        <f t="shared" si="19"/>
        <v>1425.45</v>
      </c>
      <c r="H44" s="377"/>
      <c r="I44" s="151">
        <f t="shared" si="20"/>
        <v>0</v>
      </c>
      <c r="J44" s="152"/>
      <c r="K44" s="457"/>
      <c r="L44" s="151">
        <f t="shared" si="21"/>
        <v>1</v>
      </c>
      <c r="M44" s="152">
        <v>1425.45</v>
      </c>
      <c r="N44" s="462"/>
      <c r="O44" s="151">
        <f t="shared" si="22"/>
        <v>0</v>
      </c>
      <c r="P44" s="152"/>
      <c r="Q44" s="118"/>
      <c r="R44" s="118"/>
    </row>
    <row r="45" spans="2:18" s="104" customFormat="1" ht="15" customHeight="1" x14ac:dyDescent="0.25">
      <c r="B45" s="443" t="s">
        <v>374</v>
      </c>
      <c r="C45" s="389" t="s">
        <v>375</v>
      </c>
      <c r="D45" s="380" t="s">
        <v>145</v>
      </c>
      <c r="E45" s="381">
        <v>150</v>
      </c>
      <c r="F45" s="382">
        <v>19.22</v>
      </c>
      <c r="G45" s="305">
        <f t="shared" si="19"/>
        <v>2883</v>
      </c>
      <c r="H45" s="377"/>
      <c r="I45" s="151">
        <f t="shared" si="20"/>
        <v>0</v>
      </c>
      <c r="J45" s="152"/>
      <c r="K45" s="457"/>
      <c r="L45" s="151">
        <f t="shared" si="21"/>
        <v>1</v>
      </c>
      <c r="M45" s="152">
        <v>2883</v>
      </c>
      <c r="N45" s="462"/>
      <c r="O45" s="151">
        <f t="shared" si="22"/>
        <v>0</v>
      </c>
      <c r="P45" s="152"/>
      <c r="Q45" s="118"/>
      <c r="R45" s="118"/>
    </row>
    <row r="46" spans="2:18" s="104" customFormat="1" ht="15" customHeight="1" x14ac:dyDescent="0.25">
      <c r="B46" s="442" t="s">
        <v>376</v>
      </c>
      <c r="C46" s="387" t="s">
        <v>377</v>
      </c>
      <c r="D46" s="390"/>
      <c r="E46" s="391"/>
      <c r="F46" s="392"/>
      <c r="G46" s="305">
        <f>ROUND(E46*F46,2)</f>
        <v>0</v>
      </c>
      <c r="H46" s="377"/>
      <c r="I46" s="151"/>
      <c r="J46" s="152"/>
      <c r="K46" s="457"/>
      <c r="L46" s="151"/>
      <c r="M46" s="152"/>
      <c r="N46" s="462"/>
      <c r="O46" s="151"/>
      <c r="P46" s="152"/>
      <c r="Q46" s="118"/>
      <c r="R46" s="118"/>
    </row>
    <row r="47" spans="2:18" s="104" customFormat="1" ht="15" customHeight="1" x14ac:dyDescent="0.25">
      <c r="B47" s="443" t="s">
        <v>378</v>
      </c>
      <c r="C47" s="388" t="s">
        <v>379</v>
      </c>
      <c r="D47" s="380" t="s">
        <v>233</v>
      </c>
      <c r="E47" s="381">
        <v>3</v>
      </c>
      <c r="F47" s="382">
        <v>471.14</v>
      </c>
      <c r="G47" s="305">
        <f>ROUND(E47*F47,2)</f>
        <v>1413.42</v>
      </c>
      <c r="H47" s="377"/>
      <c r="I47" s="151">
        <f>ROUND(J47/$G47,4)</f>
        <v>1</v>
      </c>
      <c r="J47" s="152">
        <v>1413.42</v>
      </c>
      <c r="K47" s="457"/>
      <c r="L47" s="151">
        <f>ROUND(M47/$G47,4)</f>
        <v>0</v>
      </c>
      <c r="M47" s="152"/>
      <c r="N47" s="462"/>
      <c r="O47" s="151">
        <f>ROUND(P47/$G47,4)</f>
        <v>0</v>
      </c>
      <c r="P47" s="152"/>
      <c r="Q47" s="118"/>
      <c r="R47" s="118"/>
    </row>
    <row r="48" spans="2:18" s="104" customFormat="1" ht="15" customHeight="1" x14ac:dyDescent="0.25">
      <c r="B48" s="442" t="s">
        <v>380</v>
      </c>
      <c r="C48" s="387" t="s">
        <v>381</v>
      </c>
      <c r="D48" s="390"/>
      <c r="E48" s="391"/>
      <c r="F48" s="392"/>
      <c r="G48" s="305">
        <f t="shared" ref="G48:G52" si="23">ROUND(E48*F48,2)</f>
        <v>0</v>
      </c>
      <c r="H48" s="377"/>
      <c r="I48" s="151"/>
      <c r="J48" s="152"/>
      <c r="K48" s="457"/>
      <c r="L48" s="151"/>
      <c r="M48" s="152"/>
      <c r="N48" s="462"/>
      <c r="O48" s="151"/>
      <c r="P48" s="152"/>
      <c r="Q48" s="118"/>
      <c r="R48" s="118"/>
    </row>
    <row r="49" spans="2:18" s="104" customFormat="1" ht="15" customHeight="1" x14ac:dyDescent="0.25">
      <c r="B49" s="443" t="s">
        <v>382</v>
      </c>
      <c r="C49" s="388" t="s">
        <v>383</v>
      </c>
      <c r="D49" s="380" t="s">
        <v>101</v>
      </c>
      <c r="E49" s="381">
        <v>50.6</v>
      </c>
      <c r="F49" s="382">
        <v>38.21</v>
      </c>
      <c r="G49" s="305">
        <f t="shared" si="23"/>
        <v>1933.43</v>
      </c>
      <c r="H49" s="377"/>
      <c r="I49" s="151">
        <f t="shared" ref="I49:I51" si="24">ROUND(J49/$G49,4)</f>
        <v>0</v>
      </c>
      <c r="J49" s="152"/>
      <c r="K49" s="457"/>
      <c r="L49" s="151">
        <f t="shared" ref="L49:L51" si="25">ROUND(M49/$G49,4)</f>
        <v>1</v>
      </c>
      <c r="M49" s="152">
        <v>1933.43</v>
      </c>
      <c r="N49" s="462"/>
      <c r="O49" s="151">
        <f t="shared" ref="O49:O51" si="26">ROUND(P49/$G49,4)</f>
        <v>0</v>
      </c>
      <c r="P49" s="152"/>
      <c r="Q49" s="118"/>
      <c r="R49" s="118"/>
    </row>
    <row r="50" spans="2:18" s="104" customFormat="1" ht="15" customHeight="1" x14ac:dyDescent="0.25">
      <c r="B50" s="443" t="s">
        <v>384</v>
      </c>
      <c r="C50" s="388" t="s">
        <v>385</v>
      </c>
      <c r="D50" s="380" t="s">
        <v>145</v>
      </c>
      <c r="E50" s="381">
        <v>170</v>
      </c>
      <c r="F50" s="382">
        <v>10.43</v>
      </c>
      <c r="G50" s="305">
        <f t="shared" si="23"/>
        <v>1773.1</v>
      </c>
      <c r="H50" s="377"/>
      <c r="I50" s="151">
        <f t="shared" si="24"/>
        <v>0</v>
      </c>
      <c r="J50" s="152"/>
      <c r="K50" s="457"/>
      <c r="L50" s="151">
        <f t="shared" si="25"/>
        <v>1</v>
      </c>
      <c r="M50" s="152">
        <v>1773.1</v>
      </c>
      <c r="N50" s="462"/>
      <c r="O50" s="151">
        <f t="shared" si="26"/>
        <v>0</v>
      </c>
      <c r="P50" s="152"/>
      <c r="Q50" s="118"/>
      <c r="R50" s="118"/>
    </row>
    <row r="51" spans="2:18" s="104" customFormat="1" ht="15" customHeight="1" x14ac:dyDescent="0.25">
      <c r="B51" s="443" t="s">
        <v>386</v>
      </c>
      <c r="C51" s="388" t="s">
        <v>387</v>
      </c>
      <c r="D51" s="380" t="s">
        <v>233</v>
      </c>
      <c r="E51" s="381">
        <v>4</v>
      </c>
      <c r="F51" s="382">
        <v>361.47</v>
      </c>
      <c r="G51" s="305">
        <f t="shared" si="23"/>
        <v>1445.88</v>
      </c>
      <c r="H51" s="377"/>
      <c r="I51" s="151">
        <f t="shared" si="24"/>
        <v>0</v>
      </c>
      <c r="J51" s="152"/>
      <c r="K51" s="457"/>
      <c r="L51" s="151">
        <f t="shared" si="25"/>
        <v>1</v>
      </c>
      <c r="M51" s="152">
        <v>1445.88</v>
      </c>
      <c r="N51" s="462"/>
      <c r="O51" s="151">
        <f t="shared" si="26"/>
        <v>0</v>
      </c>
      <c r="P51" s="152"/>
      <c r="Q51" s="118"/>
      <c r="R51" s="118"/>
    </row>
    <row r="52" spans="2:18" s="104" customFormat="1" ht="15" customHeight="1" x14ac:dyDescent="0.25">
      <c r="B52" s="441" t="s">
        <v>388</v>
      </c>
      <c r="C52" s="386" t="s">
        <v>389</v>
      </c>
      <c r="D52" s="393"/>
      <c r="E52" s="394"/>
      <c r="F52" s="395"/>
      <c r="G52" s="305">
        <f t="shared" si="23"/>
        <v>0</v>
      </c>
      <c r="H52" s="377"/>
      <c r="I52" s="151"/>
      <c r="J52" s="152"/>
      <c r="K52" s="457"/>
      <c r="L52" s="151"/>
      <c r="M52" s="152"/>
      <c r="N52" s="462"/>
      <c r="O52" s="151"/>
      <c r="P52" s="152"/>
      <c r="Q52" s="118"/>
      <c r="R52" s="118"/>
    </row>
    <row r="53" spans="2:18" s="104" customFormat="1" ht="15" customHeight="1" x14ac:dyDescent="0.25">
      <c r="B53" s="442" t="s">
        <v>390</v>
      </c>
      <c r="C53" s="387" t="s">
        <v>343</v>
      </c>
      <c r="D53" s="390"/>
      <c r="E53" s="391"/>
      <c r="F53" s="392"/>
      <c r="G53" s="306"/>
      <c r="H53" s="377"/>
      <c r="I53" s="151"/>
      <c r="J53" s="152"/>
      <c r="K53" s="457"/>
      <c r="L53" s="151"/>
      <c r="M53" s="152"/>
      <c r="N53" s="462"/>
      <c r="O53" s="151"/>
      <c r="P53" s="152"/>
      <c r="Q53" s="118"/>
      <c r="R53" s="118"/>
    </row>
    <row r="54" spans="2:18" s="104" customFormat="1" ht="15" customHeight="1" x14ac:dyDescent="0.25">
      <c r="B54" s="443" t="s">
        <v>391</v>
      </c>
      <c r="C54" s="388" t="s">
        <v>392</v>
      </c>
      <c r="D54" s="380" t="s">
        <v>234</v>
      </c>
      <c r="E54" s="381">
        <v>56.3</v>
      </c>
      <c r="F54" s="382">
        <v>22.11</v>
      </c>
      <c r="G54" s="305">
        <f t="shared" ref="G54:G58" si="27">ROUND(E54*F54,2)</f>
        <v>1244.79</v>
      </c>
      <c r="H54" s="377"/>
      <c r="I54" s="151">
        <f t="shared" ref="I54:I58" si="28">ROUND(J54/$G54,4)</f>
        <v>0</v>
      </c>
      <c r="J54" s="152"/>
      <c r="K54" s="457"/>
      <c r="L54" s="151">
        <f t="shared" ref="L54:L58" si="29">ROUND(M54/$G54,4)</f>
        <v>1</v>
      </c>
      <c r="M54" s="152">
        <v>1244.79</v>
      </c>
      <c r="N54" s="462"/>
      <c r="O54" s="151">
        <f t="shared" ref="O54:O58" si="30">ROUND(P54/$G54,4)</f>
        <v>0</v>
      </c>
      <c r="P54" s="152"/>
      <c r="Q54" s="118"/>
      <c r="R54" s="118"/>
    </row>
    <row r="55" spans="2:18" s="104" customFormat="1" ht="15" customHeight="1" x14ac:dyDescent="0.25">
      <c r="B55" s="443" t="s">
        <v>393</v>
      </c>
      <c r="C55" s="388" t="s">
        <v>394</v>
      </c>
      <c r="D55" s="396" t="s">
        <v>234</v>
      </c>
      <c r="E55" s="397">
        <v>12</v>
      </c>
      <c r="F55" s="398">
        <v>42.31</v>
      </c>
      <c r="G55" s="305">
        <f t="shared" si="27"/>
        <v>507.72</v>
      </c>
      <c r="H55" s="377"/>
      <c r="I55" s="151">
        <f t="shared" si="28"/>
        <v>0</v>
      </c>
      <c r="J55" s="152"/>
      <c r="K55" s="457"/>
      <c r="L55" s="151">
        <f t="shared" si="29"/>
        <v>0</v>
      </c>
      <c r="M55" s="152"/>
      <c r="N55" s="462"/>
      <c r="O55" s="151">
        <f t="shared" si="30"/>
        <v>1</v>
      </c>
      <c r="P55" s="152">
        <v>507.72</v>
      </c>
      <c r="Q55" s="118"/>
      <c r="R55" s="118"/>
    </row>
    <row r="56" spans="2:18" s="104" customFormat="1" ht="15" customHeight="1" x14ac:dyDescent="0.25">
      <c r="B56" s="443" t="s">
        <v>395</v>
      </c>
      <c r="C56" s="389" t="s">
        <v>349</v>
      </c>
      <c r="D56" s="380" t="s">
        <v>234</v>
      </c>
      <c r="E56" s="381">
        <v>55.38</v>
      </c>
      <c r="F56" s="382">
        <v>18.98</v>
      </c>
      <c r="G56" s="305">
        <f t="shared" si="27"/>
        <v>1051.1099999999999</v>
      </c>
      <c r="H56" s="377"/>
      <c r="I56" s="151">
        <f t="shared" si="28"/>
        <v>0</v>
      </c>
      <c r="J56" s="152"/>
      <c r="K56" s="457"/>
      <c r="L56" s="151">
        <f t="shared" si="29"/>
        <v>0</v>
      </c>
      <c r="M56" s="152"/>
      <c r="N56" s="462"/>
      <c r="O56" s="151">
        <f t="shared" si="30"/>
        <v>1</v>
      </c>
      <c r="P56" s="152">
        <v>1051.1099999999999</v>
      </c>
      <c r="Q56" s="118"/>
      <c r="R56" s="118"/>
    </row>
    <row r="57" spans="2:18" s="104" customFormat="1" ht="15" customHeight="1" x14ac:dyDescent="0.25">
      <c r="B57" s="443" t="s">
        <v>396</v>
      </c>
      <c r="C57" s="388" t="s">
        <v>397</v>
      </c>
      <c r="D57" s="380" t="s">
        <v>101</v>
      </c>
      <c r="E57" s="381">
        <v>547.38</v>
      </c>
      <c r="F57" s="382">
        <v>4.25</v>
      </c>
      <c r="G57" s="305">
        <f t="shared" si="27"/>
        <v>2326.37</v>
      </c>
      <c r="H57" s="377"/>
      <c r="I57" s="151">
        <f t="shared" si="28"/>
        <v>0</v>
      </c>
      <c r="J57" s="152"/>
      <c r="K57" s="457"/>
      <c r="L57" s="151">
        <f t="shared" si="29"/>
        <v>0</v>
      </c>
      <c r="M57" s="152"/>
      <c r="N57" s="462"/>
      <c r="O57" s="151">
        <f t="shared" si="30"/>
        <v>1</v>
      </c>
      <c r="P57" s="152">
        <v>2326.37</v>
      </c>
      <c r="Q57" s="118"/>
      <c r="R57" s="118"/>
    </row>
    <row r="58" spans="2:18" s="104" customFormat="1" ht="15" customHeight="1" x14ac:dyDescent="0.25">
      <c r="B58" s="443" t="s">
        <v>398</v>
      </c>
      <c r="C58" s="389" t="s">
        <v>399</v>
      </c>
      <c r="D58" s="380" t="s">
        <v>101</v>
      </c>
      <c r="E58" s="381">
        <v>547.38</v>
      </c>
      <c r="F58" s="382">
        <v>16.02</v>
      </c>
      <c r="G58" s="305">
        <f t="shared" si="27"/>
        <v>8769.0300000000007</v>
      </c>
      <c r="H58" s="377"/>
      <c r="I58" s="151">
        <f t="shared" si="28"/>
        <v>0</v>
      </c>
      <c r="J58" s="152"/>
      <c r="K58" s="457"/>
      <c r="L58" s="151">
        <f t="shared" si="29"/>
        <v>0</v>
      </c>
      <c r="M58" s="152"/>
      <c r="N58" s="462"/>
      <c r="O58" s="151">
        <f t="shared" si="30"/>
        <v>1</v>
      </c>
      <c r="P58" s="152">
        <v>8769.0300000000007</v>
      </c>
      <c r="Q58" s="118"/>
      <c r="R58" s="118"/>
    </row>
    <row r="59" spans="2:18" s="104" customFormat="1" ht="15" customHeight="1" x14ac:dyDescent="0.25">
      <c r="B59" s="442" t="s">
        <v>400</v>
      </c>
      <c r="C59" s="387" t="s">
        <v>401</v>
      </c>
      <c r="D59" s="390"/>
      <c r="E59" s="391"/>
      <c r="F59" s="392"/>
      <c r="G59" s="307">
        <f>ROUND(E59*F59,2)</f>
        <v>0</v>
      </c>
      <c r="H59" s="377"/>
      <c r="I59" s="151"/>
      <c r="J59" s="152"/>
      <c r="K59" s="457"/>
      <c r="L59" s="151"/>
      <c r="M59" s="152"/>
      <c r="N59" s="462"/>
      <c r="O59" s="151"/>
      <c r="P59" s="152"/>
      <c r="Q59" s="118"/>
      <c r="R59" s="118"/>
    </row>
    <row r="60" spans="2:18" s="104" customFormat="1" ht="15" customHeight="1" x14ac:dyDescent="0.25">
      <c r="B60" s="443" t="s">
        <v>402</v>
      </c>
      <c r="C60" s="388" t="s">
        <v>403</v>
      </c>
      <c r="D60" s="380" t="s">
        <v>101</v>
      </c>
      <c r="E60" s="381">
        <v>55.28</v>
      </c>
      <c r="F60" s="382">
        <v>72.37</v>
      </c>
      <c r="G60" s="305">
        <f t="shared" ref="G60:G69" si="31">ROUND(E60*F60,2)</f>
        <v>4000.61</v>
      </c>
      <c r="H60" s="377"/>
      <c r="I60" s="151">
        <f t="shared" ref="I60:I64" si="32">ROUND(J60/$G60,4)</f>
        <v>0</v>
      </c>
      <c r="J60" s="152"/>
      <c r="K60" s="457"/>
      <c r="L60" s="151">
        <f t="shared" ref="L60:L64" si="33">ROUND(M60/$G60,4)</f>
        <v>0</v>
      </c>
      <c r="M60" s="152"/>
      <c r="N60" s="462"/>
      <c r="O60" s="151">
        <f t="shared" ref="O60:O64" si="34">ROUND(P60/$G60,4)</f>
        <v>1</v>
      </c>
      <c r="P60" s="152">
        <v>4000.61</v>
      </c>
      <c r="Q60" s="118"/>
      <c r="R60" s="118"/>
    </row>
    <row r="61" spans="2:18" s="104" customFormat="1" ht="15" customHeight="1" x14ac:dyDescent="0.25">
      <c r="B61" s="443" t="s">
        <v>404</v>
      </c>
      <c r="C61" s="389" t="s">
        <v>405</v>
      </c>
      <c r="D61" s="380" t="s">
        <v>101</v>
      </c>
      <c r="E61" s="381">
        <v>547.38</v>
      </c>
      <c r="F61" s="382">
        <v>49.11</v>
      </c>
      <c r="G61" s="305">
        <f t="shared" si="31"/>
        <v>26881.83</v>
      </c>
      <c r="H61" s="377"/>
      <c r="I61" s="151">
        <f t="shared" si="32"/>
        <v>0</v>
      </c>
      <c r="J61" s="152"/>
      <c r="K61" s="457"/>
      <c r="L61" s="151">
        <f t="shared" si="33"/>
        <v>0</v>
      </c>
      <c r="M61" s="152"/>
      <c r="N61" s="462"/>
      <c r="O61" s="151">
        <f t="shared" si="34"/>
        <v>1</v>
      </c>
      <c r="P61" s="152">
        <v>26881.83</v>
      </c>
      <c r="Q61" s="118"/>
      <c r="R61" s="118"/>
    </row>
    <row r="62" spans="2:18" s="104" customFormat="1" ht="15" customHeight="1" x14ac:dyDescent="0.25">
      <c r="B62" s="443" t="s">
        <v>406</v>
      </c>
      <c r="C62" s="388" t="s">
        <v>407</v>
      </c>
      <c r="D62" s="380" t="s">
        <v>145</v>
      </c>
      <c r="E62" s="381">
        <v>404</v>
      </c>
      <c r="F62" s="382">
        <v>16.32</v>
      </c>
      <c r="G62" s="305">
        <f t="shared" si="31"/>
        <v>6593.28</v>
      </c>
      <c r="H62" s="377"/>
      <c r="I62" s="151">
        <f t="shared" si="32"/>
        <v>0</v>
      </c>
      <c r="J62" s="152"/>
      <c r="K62" s="457"/>
      <c r="L62" s="151">
        <f t="shared" si="33"/>
        <v>0</v>
      </c>
      <c r="M62" s="152"/>
      <c r="N62" s="462"/>
      <c r="O62" s="151">
        <f t="shared" si="34"/>
        <v>1</v>
      </c>
      <c r="P62" s="152">
        <v>6593.28</v>
      </c>
      <c r="Q62" s="118"/>
      <c r="R62" s="118"/>
    </row>
    <row r="63" spans="2:18" s="104" customFormat="1" ht="15" customHeight="1" x14ac:dyDescent="0.25">
      <c r="B63" s="443" t="s">
        <v>408</v>
      </c>
      <c r="C63" s="388" t="s">
        <v>409</v>
      </c>
      <c r="D63" s="380"/>
      <c r="E63" s="381">
        <v>547.38</v>
      </c>
      <c r="F63" s="382">
        <v>2.92</v>
      </c>
      <c r="G63" s="305">
        <f t="shared" si="31"/>
        <v>1598.35</v>
      </c>
      <c r="H63" s="377"/>
      <c r="I63" s="151">
        <f t="shared" si="32"/>
        <v>0</v>
      </c>
      <c r="J63" s="152"/>
      <c r="K63" s="457"/>
      <c r="L63" s="151">
        <f t="shared" si="33"/>
        <v>0</v>
      </c>
      <c r="M63" s="152"/>
      <c r="N63" s="462"/>
      <c r="O63" s="151">
        <f t="shared" si="34"/>
        <v>1</v>
      </c>
      <c r="P63" s="152">
        <v>1598.35</v>
      </c>
      <c r="Q63" s="118"/>
      <c r="R63" s="118"/>
    </row>
    <row r="64" spans="2:18" s="104" customFormat="1" ht="15" customHeight="1" x14ac:dyDescent="0.25">
      <c r="B64" s="443" t="s">
        <v>410</v>
      </c>
      <c r="C64" s="388" t="s">
        <v>411</v>
      </c>
      <c r="D64" s="380" t="s">
        <v>145</v>
      </c>
      <c r="E64" s="381">
        <v>158.4</v>
      </c>
      <c r="F64" s="382">
        <v>4.4800000000000004</v>
      </c>
      <c r="G64" s="305">
        <f t="shared" si="31"/>
        <v>709.63</v>
      </c>
      <c r="H64" s="377"/>
      <c r="I64" s="151">
        <f t="shared" si="32"/>
        <v>0</v>
      </c>
      <c r="J64" s="152"/>
      <c r="K64" s="457"/>
      <c r="L64" s="151">
        <f t="shared" si="33"/>
        <v>0</v>
      </c>
      <c r="M64" s="152"/>
      <c r="N64" s="462"/>
      <c r="O64" s="151">
        <f t="shared" si="34"/>
        <v>1</v>
      </c>
      <c r="P64" s="152">
        <v>709.63</v>
      </c>
      <c r="Q64" s="118"/>
      <c r="R64" s="118"/>
    </row>
    <row r="65" spans="2:18" s="104" customFormat="1" ht="15" customHeight="1" x14ac:dyDescent="0.25">
      <c r="B65" s="442" t="s">
        <v>412</v>
      </c>
      <c r="C65" s="387" t="s">
        <v>413</v>
      </c>
      <c r="D65" s="390"/>
      <c r="E65" s="391"/>
      <c r="F65" s="392"/>
      <c r="G65" s="305">
        <f t="shared" si="31"/>
        <v>0</v>
      </c>
      <c r="H65" s="377"/>
      <c r="I65" s="151"/>
      <c r="J65" s="152"/>
      <c r="K65" s="457"/>
      <c r="L65" s="151"/>
      <c r="M65" s="152"/>
      <c r="N65" s="462"/>
      <c r="O65" s="151"/>
      <c r="P65" s="152"/>
      <c r="Q65" s="118"/>
      <c r="R65" s="118"/>
    </row>
    <row r="66" spans="2:18" s="104" customFormat="1" ht="15" customHeight="1" x14ac:dyDescent="0.25">
      <c r="B66" s="443" t="s">
        <v>414</v>
      </c>
      <c r="C66" s="388" t="s">
        <v>415</v>
      </c>
      <c r="D66" s="380" t="s">
        <v>101</v>
      </c>
      <c r="E66" s="381">
        <v>16.25</v>
      </c>
      <c r="F66" s="382">
        <v>46.94</v>
      </c>
      <c r="G66" s="305">
        <f t="shared" si="31"/>
        <v>762.78</v>
      </c>
      <c r="H66" s="377"/>
      <c r="I66" s="151">
        <f t="shared" ref="I66:I69" si="35">ROUND(J66/$G66,4)</f>
        <v>0</v>
      </c>
      <c r="J66" s="152"/>
      <c r="K66" s="457"/>
      <c r="L66" s="151">
        <f t="shared" ref="L66:L69" si="36">ROUND(M66/$G66,4)</f>
        <v>0</v>
      </c>
      <c r="M66" s="152"/>
      <c r="N66" s="462"/>
      <c r="O66" s="151">
        <f t="shared" ref="O66:O69" si="37">ROUND(P66/$G66,4)</f>
        <v>1</v>
      </c>
      <c r="P66" s="152">
        <v>762.78</v>
      </c>
      <c r="Q66" s="118"/>
      <c r="R66" s="118"/>
    </row>
    <row r="67" spans="2:18" s="104" customFormat="1" ht="15" customHeight="1" x14ac:dyDescent="0.25">
      <c r="B67" s="443" t="s">
        <v>416</v>
      </c>
      <c r="C67" s="388" t="s">
        <v>417</v>
      </c>
      <c r="D67" s="380" t="s">
        <v>101</v>
      </c>
      <c r="E67" s="381">
        <v>86.65</v>
      </c>
      <c r="F67" s="382">
        <v>53.06</v>
      </c>
      <c r="G67" s="305">
        <f t="shared" si="31"/>
        <v>4597.6499999999996</v>
      </c>
      <c r="H67" s="377"/>
      <c r="I67" s="151">
        <f t="shared" si="35"/>
        <v>0</v>
      </c>
      <c r="J67" s="152"/>
      <c r="K67" s="457"/>
      <c r="L67" s="151">
        <f t="shared" si="36"/>
        <v>0</v>
      </c>
      <c r="M67" s="152"/>
      <c r="N67" s="462"/>
      <c r="O67" s="151">
        <f t="shared" si="37"/>
        <v>1</v>
      </c>
      <c r="P67" s="152">
        <v>4597.6499999999996</v>
      </c>
      <c r="Q67" s="118"/>
      <c r="R67" s="118"/>
    </row>
    <row r="68" spans="2:18" s="104" customFormat="1" ht="15" customHeight="1" x14ac:dyDescent="0.25">
      <c r="B68" s="443" t="s">
        <v>418</v>
      </c>
      <c r="C68" s="388" t="s">
        <v>419</v>
      </c>
      <c r="D68" s="380" t="s">
        <v>101</v>
      </c>
      <c r="E68" s="381">
        <v>86.65</v>
      </c>
      <c r="F68" s="382">
        <v>2.92</v>
      </c>
      <c r="G68" s="305">
        <f t="shared" si="31"/>
        <v>253.02</v>
      </c>
      <c r="H68" s="377"/>
      <c r="I68" s="151">
        <f t="shared" si="35"/>
        <v>0</v>
      </c>
      <c r="J68" s="152"/>
      <c r="K68" s="457"/>
      <c r="L68" s="151">
        <f t="shared" si="36"/>
        <v>0</v>
      </c>
      <c r="M68" s="152"/>
      <c r="N68" s="462"/>
      <c r="O68" s="151">
        <f t="shared" si="37"/>
        <v>1</v>
      </c>
      <c r="P68" s="152">
        <v>253.02</v>
      </c>
      <c r="Q68" s="118"/>
      <c r="R68" s="118"/>
    </row>
    <row r="69" spans="2:18" s="104" customFormat="1" ht="15" customHeight="1" x14ac:dyDescent="0.25">
      <c r="B69" s="443" t="s">
        <v>420</v>
      </c>
      <c r="C69" s="388" t="s">
        <v>411</v>
      </c>
      <c r="D69" s="380" t="s">
        <v>145</v>
      </c>
      <c r="E69" s="381">
        <v>110</v>
      </c>
      <c r="F69" s="382">
        <v>4.4800000000000004</v>
      </c>
      <c r="G69" s="305">
        <f t="shared" si="31"/>
        <v>492.8</v>
      </c>
      <c r="H69" s="377"/>
      <c r="I69" s="151">
        <f t="shared" si="35"/>
        <v>0</v>
      </c>
      <c r="J69" s="152"/>
      <c r="K69" s="457"/>
      <c r="L69" s="151">
        <f t="shared" si="36"/>
        <v>0</v>
      </c>
      <c r="M69" s="152"/>
      <c r="N69" s="462"/>
      <c r="O69" s="151">
        <f t="shared" si="37"/>
        <v>1</v>
      </c>
      <c r="P69" s="152">
        <v>492.8</v>
      </c>
      <c r="Q69" s="118"/>
      <c r="R69" s="118"/>
    </row>
    <row r="70" spans="2:18" s="104" customFormat="1" ht="15" customHeight="1" x14ac:dyDescent="0.25">
      <c r="B70" s="442" t="s">
        <v>421</v>
      </c>
      <c r="C70" s="387" t="s">
        <v>422</v>
      </c>
      <c r="D70" s="390"/>
      <c r="E70" s="391"/>
      <c r="F70" s="392"/>
      <c r="G70" s="306"/>
      <c r="H70" s="377"/>
      <c r="I70" s="151"/>
      <c r="J70" s="152"/>
      <c r="K70" s="457"/>
      <c r="L70" s="151"/>
      <c r="M70" s="152"/>
      <c r="N70" s="462"/>
      <c r="O70" s="151"/>
      <c r="P70" s="152"/>
      <c r="Q70" s="118"/>
      <c r="R70" s="118"/>
    </row>
    <row r="71" spans="2:18" s="104" customFormat="1" ht="15" customHeight="1" x14ac:dyDescent="0.25">
      <c r="B71" s="443" t="s">
        <v>423</v>
      </c>
      <c r="C71" s="388" t="s">
        <v>424</v>
      </c>
      <c r="D71" s="380" t="s">
        <v>101</v>
      </c>
      <c r="E71" s="381">
        <v>64</v>
      </c>
      <c r="F71" s="382">
        <v>49.11</v>
      </c>
      <c r="G71" s="305">
        <f t="shared" ref="G71:G74" si="38">ROUND(E71*F71,2)</f>
        <v>3143.04</v>
      </c>
      <c r="H71" s="377"/>
      <c r="I71" s="151">
        <f t="shared" ref="I71:I74" si="39">ROUND(J71/$G71,4)</f>
        <v>0</v>
      </c>
      <c r="J71" s="152"/>
      <c r="K71" s="457"/>
      <c r="L71" s="151">
        <f t="shared" ref="L71:L74" si="40">ROUND(M71/$G71,4)</f>
        <v>0</v>
      </c>
      <c r="M71" s="152"/>
      <c r="N71" s="462"/>
      <c r="O71" s="151">
        <f t="shared" ref="O71:O74" si="41">ROUND(P71/$G71,4)</f>
        <v>1</v>
      </c>
      <c r="P71" s="152">
        <v>3143.04</v>
      </c>
      <c r="Q71" s="118"/>
      <c r="R71" s="118"/>
    </row>
    <row r="72" spans="2:18" s="104" customFormat="1" ht="15" customHeight="1" x14ac:dyDescent="0.25">
      <c r="B72" s="443" t="s">
        <v>425</v>
      </c>
      <c r="C72" s="388" t="s">
        <v>426</v>
      </c>
      <c r="D72" s="380" t="s">
        <v>101</v>
      </c>
      <c r="E72" s="381">
        <v>2.8</v>
      </c>
      <c r="F72" s="382">
        <v>87.93</v>
      </c>
      <c r="G72" s="305">
        <f t="shared" si="38"/>
        <v>246.2</v>
      </c>
      <c r="H72" s="377"/>
      <c r="I72" s="151">
        <f t="shared" si="39"/>
        <v>0</v>
      </c>
      <c r="J72" s="152"/>
      <c r="K72" s="457"/>
      <c r="L72" s="151">
        <f t="shared" si="40"/>
        <v>0</v>
      </c>
      <c r="M72" s="152"/>
      <c r="N72" s="462"/>
      <c r="O72" s="151">
        <f t="shared" si="41"/>
        <v>1</v>
      </c>
      <c r="P72" s="152">
        <v>246.2</v>
      </c>
      <c r="Q72" s="118"/>
      <c r="R72" s="118"/>
    </row>
    <row r="73" spans="2:18" s="104" customFormat="1" ht="15" customHeight="1" x14ac:dyDescent="0.25">
      <c r="B73" s="443" t="s">
        <v>427</v>
      </c>
      <c r="C73" s="388" t="s">
        <v>428</v>
      </c>
      <c r="D73" s="380" t="s">
        <v>145</v>
      </c>
      <c r="E73" s="381">
        <v>28</v>
      </c>
      <c r="F73" s="382">
        <v>51.24</v>
      </c>
      <c r="G73" s="305">
        <f t="shared" si="38"/>
        <v>1434.72</v>
      </c>
      <c r="H73" s="377"/>
      <c r="I73" s="151">
        <f t="shared" si="39"/>
        <v>0</v>
      </c>
      <c r="J73" s="152"/>
      <c r="K73" s="457"/>
      <c r="L73" s="151">
        <f t="shared" si="40"/>
        <v>0</v>
      </c>
      <c r="M73" s="152"/>
      <c r="N73" s="462"/>
      <c r="O73" s="151">
        <f t="shared" si="41"/>
        <v>1</v>
      </c>
      <c r="P73" s="152">
        <v>1434.72</v>
      </c>
      <c r="Q73" s="118"/>
      <c r="R73" s="118"/>
    </row>
    <row r="74" spans="2:18" s="104" customFormat="1" ht="15" customHeight="1" x14ac:dyDescent="0.25">
      <c r="B74" s="443" t="s">
        <v>429</v>
      </c>
      <c r="C74" s="388" t="s">
        <v>409</v>
      </c>
      <c r="D74" s="380" t="s">
        <v>101</v>
      </c>
      <c r="E74" s="381">
        <v>64</v>
      </c>
      <c r="F74" s="382">
        <v>2.92</v>
      </c>
      <c r="G74" s="305">
        <f t="shared" si="38"/>
        <v>186.88</v>
      </c>
      <c r="H74" s="377"/>
      <c r="I74" s="151">
        <f t="shared" si="39"/>
        <v>0</v>
      </c>
      <c r="J74" s="152"/>
      <c r="K74" s="457"/>
      <c r="L74" s="151">
        <f t="shared" si="40"/>
        <v>0</v>
      </c>
      <c r="M74" s="152"/>
      <c r="N74" s="462"/>
      <c r="O74" s="151">
        <f t="shared" si="41"/>
        <v>1</v>
      </c>
      <c r="P74" s="152">
        <v>186.88</v>
      </c>
      <c r="Q74" s="118"/>
      <c r="R74" s="118"/>
    </row>
    <row r="75" spans="2:18" s="104" customFormat="1" ht="15" customHeight="1" x14ac:dyDescent="0.25">
      <c r="B75" s="442" t="s">
        <v>430</v>
      </c>
      <c r="C75" s="387" t="s">
        <v>431</v>
      </c>
      <c r="D75" s="390"/>
      <c r="E75" s="391"/>
      <c r="F75" s="392"/>
      <c r="G75" s="306"/>
      <c r="H75" s="377"/>
      <c r="I75" s="151"/>
      <c r="J75" s="152"/>
      <c r="K75" s="457"/>
      <c r="L75" s="151"/>
      <c r="M75" s="152"/>
      <c r="N75" s="462"/>
      <c r="O75" s="151"/>
      <c r="P75" s="152"/>
      <c r="Q75" s="118"/>
      <c r="R75" s="118"/>
    </row>
    <row r="76" spans="2:18" s="104" customFormat="1" ht="15" customHeight="1" x14ac:dyDescent="0.25">
      <c r="B76" s="443" t="s">
        <v>432</v>
      </c>
      <c r="C76" s="388" t="s">
        <v>433</v>
      </c>
      <c r="D76" s="380" t="s">
        <v>233</v>
      </c>
      <c r="E76" s="381">
        <v>32</v>
      </c>
      <c r="F76" s="382">
        <v>202.81</v>
      </c>
      <c r="G76" s="305">
        <f t="shared" ref="G76:G77" si="42">ROUND(E76*F76,2)</f>
        <v>6489.92</v>
      </c>
      <c r="H76" s="378"/>
      <c r="I76" s="151">
        <f t="shared" ref="I76:I77" si="43">ROUND(J76/$G76,4)</f>
        <v>0</v>
      </c>
      <c r="J76" s="152"/>
      <c r="K76" s="458"/>
      <c r="L76" s="151">
        <f t="shared" ref="L76:L77" si="44">ROUND(M76/$G76,4)</f>
        <v>0</v>
      </c>
      <c r="M76" s="152"/>
      <c r="N76" s="462"/>
      <c r="O76" s="151">
        <f t="shared" ref="O76:O77" si="45">ROUND(P76/$G76,4)</f>
        <v>1</v>
      </c>
      <c r="P76" s="152">
        <v>6489.92</v>
      </c>
      <c r="Q76" s="118"/>
      <c r="R76" s="118"/>
    </row>
    <row r="77" spans="2:18" s="104" customFormat="1" ht="15" customHeight="1" x14ac:dyDescent="0.25">
      <c r="B77" s="443" t="s">
        <v>434</v>
      </c>
      <c r="C77" s="388" t="s">
        <v>435</v>
      </c>
      <c r="D77" s="380" t="s">
        <v>233</v>
      </c>
      <c r="E77" s="381">
        <v>32</v>
      </c>
      <c r="F77" s="382">
        <v>312.41000000000003</v>
      </c>
      <c r="G77" s="305">
        <f t="shared" si="42"/>
        <v>9997.1200000000008</v>
      </c>
      <c r="H77" s="100"/>
      <c r="I77" s="151">
        <f t="shared" si="43"/>
        <v>0</v>
      </c>
      <c r="J77" s="453"/>
      <c r="K77" s="101"/>
      <c r="L77" s="151">
        <f t="shared" si="44"/>
        <v>0</v>
      </c>
      <c r="M77" s="453"/>
      <c r="N77" s="101"/>
      <c r="O77" s="151">
        <f t="shared" si="45"/>
        <v>1</v>
      </c>
      <c r="P77" s="453">
        <v>9997.1200000000008</v>
      </c>
      <c r="Q77" s="118"/>
      <c r="R77" s="118"/>
    </row>
    <row r="78" spans="2:18" s="104" customFormat="1" ht="15" customHeight="1" x14ac:dyDescent="0.25">
      <c r="B78" s="441" t="s">
        <v>436</v>
      </c>
      <c r="C78" s="386" t="s">
        <v>437</v>
      </c>
      <c r="D78" s="393"/>
      <c r="E78" s="394"/>
      <c r="F78" s="395"/>
      <c r="G78" s="306"/>
      <c r="H78" s="101"/>
      <c r="I78" s="459"/>
      <c r="J78" s="453"/>
      <c r="K78" s="101"/>
      <c r="L78" s="459"/>
      <c r="M78" s="453"/>
      <c r="N78" s="101"/>
      <c r="O78" s="459"/>
      <c r="P78" s="453"/>
      <c r="Q78" s="118"/>
      <c r="R78" s="118"/>
    </row>
    <row r="79" spans="2:18" s="120" customFormat="1" ht="15" customHeight="1" x14ac:dyDescent="0.25">
      <c r="B79" s="442" t="s">
        <v>438</v>
      </c>
      <c r="C79" s="387" t="s">
        <v>439</v>
      </c>
      <c r="D79" s="390"/>
      <c r="E79" s="391"/>
      <c r="F79" s="392"/>
      <c r="G79" s="306"/>
      <c r="H79" s="101"/>
      <c r="I79" s="459"/>
      <c r="J79" s="453"/>
      <c r="K79" s="101"/>
      <c r="L79" s="459"/>
      <c r="M79" s="453"/>
      <c r="N79" s="101"/>
      <c r="O79" s="459"/>
      <c r="P79" s="453"/>
      <c r="Q79" s="121"/>
      <c r="R79" s="121"/>
    </row>
    <row r="80" spans="2:18" s="104" customFormat="1" ht="15" customHeight="1" x14ac:dyDescent="0.25">
      <c r="B80" s="443" t="s">
        <v>440</v>
      </c>
      <c r="C80" s="388" t="s">
        <v>441</v>
      </c>
      <c r="D80" s="380" t="s">
        <v>234</v>
      </c>
      <c r="E80" s="381">
        <v>43.2</v>
      </c>
      <c r="F80" s="382">
        <v>56.41</v>
      </c>
      <c r="G80" s="305">
        <f t="shared" ref="G80:G84" si="46">ROUND(E80*F80,2)</f>
        <v>2436.91</v>
      </c>
      <c r="H80" s="100"/>
      <c r="I80" s="151">
        <f t="shared" ref="I80:I84" si="47">ROUND(J80/$G80,4)</f>
        <v>0</v>
      </c>
      <c r="J80" s="453"/>
      <c r="K80" s="101"/>
      <c r="L80" s="151">
        <f t="shared" ref="L80:L84" si="48">ROUND(M80/$G80,4)</f>
        <v>0.66669999999999996</v>
      </c>
      <c r="M80" s="453">
        <v>1624.61</v>
      </c>
      <c r="N80" s="101"/>
      <c r="O80" s="151">
        <f t="shared" ref="O80:O84" si="49">ROUND(P80/$G80,4)</f>
        <v>0.33329999999999999</v>
      </c>
      <c r="P80" s="453">
        <v>812.3</v>
      </c>
      <c r="Q80" s="118"/>
      <c r="R80" s="118"/>
    </row>
    <row r="81" spans="2:18" s="104" customFormat="1" ht="15" customHeight="1" x14ac:dyDescent="0.25">
      <c r="B81" s="443" t="s">
        <v>442</v>
      </c>
      <c r="C81" s="388" t="s">
        <v>231</v>
      </c>
      <c r="D81" s="380" t="s">
        <v>234</v>
      </c>
      <c r="E81" s="381">
        <v>5.5</v>
      </c>
      <c r="F81" s="382">
        <v>42.31</v>
      </c>
      <c r="G81" s="305">
        <f t="shared" si="46"/>
        <v>232.71</v>
      </c>
      <c r="H81" s="101"/>
      <c r="I81" s="151">
        <f t="shared" si="47"/>
        <v>0</v>
      </c>
      <c r="J81" s="453"/>
      <c r="K81" s="101"/>
      <c r="L81" s="151">
        <f t="shared" si="48"/>
        <v>0</v>
      </c>
      <c r="M81" s="453"/>
      <c r="N81" s="101"/>
      <c r="O81" s="151">
        <f t="shared" si="49"/>
        <v>1</v>
      </c>
      <c r="P81" s="453">
        <v>232.71</v>
      </c>
      <c r="Q81" s="118"/>
      <c r="R81" s="118"/>
    </row>
    <row r="82" spans="2:18" s="120" customFormat="1" ht="15" customHeight="1" x14ac:dyDescent="0.25">
      <c r="B82" s="443" t="s">
        <v>443</v>
      </c>
      <c r="C82" s="388" t="s">
        <v>444</v>
      </c>
      <c r="D82" s="380" t="s">
        <v>234</v>
      </c>
      <c r="E82" s="381">
        <v>47.13</v>
      </c>
      <c r="F82" s="382">
        <v>28.21</v>
      </c>
      <c r="G82" s="305">
        <f t="shared" si="46"/>
        <v>1329.54</v>
      </c>
      <c r="H82" s="100"/>
      <c r="I82" s="151">
        <f t="shared" si="47"/>
        <v>0</v>
      </c>
      <c r="J82" s="453"/>
      <c r="K82" s="101"/>
      <c r="L82" s="151">
        <f t="shared" si="48"/>
        <v>0.125</v>
      </c>
      <c r="M82" s="453">
        <v>166.19</v>
      </c>
      <c r="N82" s="101"/>
      <c r="O82" s="151">
        <f t="shared" si="49"/>
        <v>0.875</v>
      </c>
      <c r="P82" s="453">
        <v>1163.3499999999999</v>
      </c>
      <c r="Q82" s="121"/>
      <c r="R82" s="121"/>
    </row>
    <row r="83" spans="2:18" s="104" customFormat="1" ht="15" customHeight="1" x14ac:dyDescent="0.25">
      <c r="B83" s="443" t="s">
        <v>445</v>
      </c>
      <c r="C83" s="389" t="s">
        <v>349</v>
      </c>
      <c r="D83" s="380" t="s">
        <v>234</v>
      </c>
      <c r="E83" s="381">
        <v>47.13</v>
      </c>
      <c r="F83" s="382">
        <v>18.98</v>
      </c>
      <c r="G83" s="305">
        <f t="shared" si="46"/>
        <v>894.53</v>
      </c>
      <c r="H83" s="102"/>
      <c r="I83" s="151">
        <f t="shared" si="47"/>
        <v>0</v>
      </c>
      <c r="J83" s="454"/>
      <c r="K83" s="102"/>
      <c r="L83" s="151">
        <f t="shared" si="48"/>
        <v>0</v>
      </c>
      <c r="M83" s="454"/>
      <c r="N83" s="102"/>
      <c r="O83" s="151">
        <f t="shared" si="49"/>
        <v>1</v>
      </c>
      <c r="P83" s="454">
        <v>894.53</v>
      </c>
      <c r="Q83" s="118"/>
      <c r="R83" s="118"/>
    </row>
    <row r="84" spans="2:18" s="104" customFormat="1" ht="15" customHeight="1" x14ac:dyDescent="0.25">
      <c r="B84" s="443" t="s">
        <v>446</v>
      </c>
      <c r="C84" s="388" t="s">
        <v>447</v>
      </c>
      <c r="D84" s="380" t="s">
        <v>101</v>
      </c>
      <c r="E84" s="381">
        <v>115.95</v>
      </c>
      <c r="F84" s="382">
        <v>4.25</v>
      </c>
      <c r="G84" s="305">
        <f t="shared" si="46"/>
        <v>492.79</v>
      </c>
      <c r="H84" s="102"/>
      <c r="I84" s="151">
        <f t="shared" si="47"/>
        <v>0</v>
      </c>
      <c r="J84" s="454"/>
      <c r="K84" s="102"/>
      <c r="L84" s="151">
        <f t="shared" si="48"/>
        <v>0</v>
      </c>
      <c r="M84" s="454"/>
      <c r="N84" s="102"/>
      <c r="O84" s="151">
        <f t="shared" si="49"/>
        <v>1</v>
      </c>
      <c r="P84" s="454">
        <v>492.79</v>
      </c>
      <c r="Q84" s="118"/>
      <c r="R84" s="118"/>
    </row>
    <row r="85" spans="2:18" s="105" customFormat="1" ht="15" customHeight="1" x14ac:dyDescent="0.25">
      <c r="B85" s="442" t="s">
        <v>448</v>
      </c>
      <c r="C85" s="387" t="s">
        <v>449</v>
      </c>
      <c r="D85" s="390"/>
      <c r="E85" s="391"/>
      <c r="F85" s="392"/>
      <c r="G85" s="306"/>
      <c r="H85" s="124"/>
      <c r="I85" s="450"/>
      <c r="J85" s="446"/>
      <c r="K85" s="124"/>
      <c r="L85" s="446"/>
      <c r="M85" s="446"/>
      <c r="N85" s="125"/>
      <c r="O85" s="446"/>
      <c r="P85" s="446"/>
      <c r="Q85" s="118"/>
    </row>
    <row r="86" spans="2:18" ht="15" customHeight="1" x14ac:dyDescent="0.25">
      <c r="B86" s="443" t="s">
        <v>450</v>
      </c>
      <c r="C86" s="388" t="s">
        <v>451</v>
      </c>
      <c r="D86" s="380" t="s">
        <v>101</v>
      </c>
      <c r="E86" s="381">
        <v>5.76</v>
      </c>
      <c r="F86" s="382">
        <v>34.68</v>
      </c>
      <c r="G86" s="305">
        <f t="shared" ref="G86:G89" si="50">ROUND(E86*F86,2)</f>
        <v>199.76</v>
      </c>
      <c r="I86" s="151">
        <f t="shared" ref="I86:I89" si="51">ROUND(J86/$G86,4)</f>
        <v>0</v>
      </c>
      <c r="J86" s="447"/>
      <c r="L86" s="151">
        <f t="shared" ref="L86:L89" si="52">ROUND(M86/$G86,4)</f>
        <v>0</v>
      </c>
      <c r="M86" s="447"/>
      <c r="O86" s="151">
        <f t="shared" ref="O86:O89" si="53">ROUND(P86/$G86,4)</f>
        <v>1</v>
      </c>
      <c r="P86" s="447">
        <v>199.76</v>
      </c>
      <c r="Q86" s="118"/>
    </row>
    <row r="87" spans="2:18" ht="15" customHeight="1" x14ac:dyDescent="0.25">
      <c r="B87" s="443" t="s">
        <v>452</v>
      </c>
      <c r="C87" s="388" t="s">
        <v>453</v>
      </c>
      <c r="D87" s="380" t="s">
        <v>145</v>
      </c>
      <c r="E87" s="381">
        <v>386</v>
      </c>
      <c r="F87" s="382">
        <v>40.96</v>
      </c>
      <c r="G87" s="305">
        <f t="shared" si="50"/>
        <v>15810.56</v>
      </c>
      <c r="I87" s="151">
        <f t="shared" si="51"/>
        <v>0</v>
      </c>
      <c r="J87" s="447"/>
      <c r="L87" s="151">
        <f t="shared" si="52"/>
        <v>0</v>
      </c>
      <c r="M87" s="447"/>
      <c r="O87" s="151">
        <f t="shared" si="53"/>
        <v>1</v>
      </c>
      <c r="P87" s="447">
        <v>15810.56</v>
      </c>
    </row>
    <row r="88" spans="2:18" s="105" customFormat="1" ht="15" customHeight="1" x14ac:dyDescent="0.25">
      <c r="B88" s="443" t="s">
        <v>454</v>
      </c>
      <c r="C88" s="388" t="s">
        <v>455</v>
      </c>
      <c r="D88" s="380" t="s">
        <v>101</v>
      </c>
      <c r="E88" s="381">
        <v>115.8</v>
      </c>
      <c r="F88" s="382">
        <v>5.86</v>
      </c>
      <c r="G88" s="305">
        <f t="shared" si="50"/>
        <v>678.59</v>
      </c>
      <c r="H88" s="119"/>
      <c r="I88" s="151">
        <f t="shared" si="51"/>
        <v>0</v>
      </c>
      <c r="J88" s="448"/>
      <c r="K88" s="119"/>
      <c r="L88" s="151">
        <f t="shared" si="52"/>
        <v>0</v>
      </c>
      <c r="M88" s="448"/>
      <c r="N88" s="127"/>
      <c r="O88" s="151">
        <f t="shared" si="53"/>
        <v>1</v>
      </c>
      <c r="P88" s="448">
        <v>678.59</v>
      </c>
      <c r="Q88" s="104"/>
    </row>
    <row r="89" spans="2:18" s="105" customFormat="1" ht="15" customHeight="1" x14ac:dyDescent="0.25">
      <c r="B89" s="443" t="s">
        <v>456</v>
      </c>
      <c r="C89" s="388" t="s">
        <v>457</v>
      </c>
      <c r="D89" s="396" t="s">
        <v>145</v>
      </c>
      <c r="E89" s="397">
        <v>38.5</v>
      </c>
      <c r="F89" s="398">
        <v>5.44</v>
      </c>
      <c r="G89" s="305">
        <f t="shared" si="50"/>
        <v>209.44</v>
      </c>
      <c r="H89" s="119"/>
      <c r="I89" s="151">
        <f t="shared" si="51"/>
        <v>0</v>
      </c>
      <c r="J89" s="447"/>
      <c r="K89" s="119"/>
      <c r="L89" s="151">
        <f t="shared" si="52"/>
        <v>0</v>
      </c>
      <c r="M89" s="447"/>
      <c r="N89" s="103"/>
      <c r="O89" s="151">
        <f t="shared" si="53"/>
        <v>1</v>
      </c>
      <c r="P89" s="447">
        <v>209.44</v>
      </c>
      <c r="Q89" s="104"/>
    </row>
    <row r="90" spans="2:18" s="105" customFormat="1" ht="15" customHeight="1" x14ac:dyDescent="0.25">
      <c r="B90" s="441" t="s">
        <v>458</v>
      </c>
      <c r="C90" s="386" t="s">
        <v>459</v>
      </c>
      <c r="D90" s="393"/>
      <c r="E90" s="394"/>
      <c r="F90" s="395"/>
      <c r="G90" s="306"/>
      <c r="H90" s="119"/>
      <c r="I90" s="451"/>
      <c r="J90" s="447"/>
      <c r="K90" s="119"/>
      <c r="L90" s="447"/>
      <c r="M90" s="447"/>
      <c r="N90" s="103"/>
      <c r="O90" s="447"/>
      <c r="P90" s="447"/>
      <c r="Q90" s="104"/>
    </row>
    <row r="91" spans="2:18" s="105" customFormat="1" ht="15" customHeight="1" x14ac:dyDescent="0.25">
      <c r="B91" s="442" t="s">
        <v>460</v>
      </c>
      <c r="C91" s="387" t="s">
        <v>461</v>
      </c>
      <c r="D91" s="390"/>
      <c r="E91" s="391"/>
      <c r="F91" s="392"/>
      <c r="G91" s="306"/>
      <c r="H91" s="119"/>
      <c r="I91" s="451"/>
      <c r="J91" s="447"/>
      <c r="K91" s="119"/>
      <c r="L91" s="447"/>
      <c r="M91" s="447"/>
      <c r="N91" s="103"/>
      <c r="O91" s="447"/>
      <c r="P91" s="447"/>
      <c r="Q91" s="104"/>
    </row>
    <row r="92" spans="2:18" ht="15" customHeight="1" x14ac:dyDescent="0.25">
      <c r="B92" s="443" t="s">
        <v>462</v>
      </c>
      <c r="C92" s="388" t="s">
        <v>441</v>
      </c>
      <c r="D92" s="380" t="s">
        <v>234</v>
      </c>
      <c r="E92" s="381">
        <v>9</v>
      </c>
      <c r="F92" s="382">
        <v>56.41</v>
      </c>
      <c r="G92" s="305">
        <f t="shared" ref="G92:G95" si="54">ROUND(E92*F92,2)</f>
        <v>507.69</v>
      </c>
      <c r="I92" s="151">
        <f t="shared" ref="I92:I95" si="55">ROUND(J92/$G92,4)</f>
        <v>0</v>
      </c>
      <c r="J92" s="447"/>
      <c r="L92" s="151">
        <f t="shared" ref="L92:L95" si="56">ROUND(M92/$G92,4)</f>
        <v>1</v>
      </c>
      <c r="M92" s="447">
        <v>507.69</v>
      </c>
      <c r="O92" s="151">
        <f t="shared" ref="O92:O95" si="57">ROUND(P92/$G92,4)</f>
        <v>0</v>
      </c>
      <c r="P92" s="447"/>
    </row>
    <row r="93" spans="2:18" ht="15" customHeight="1" x14ac:dyDescent="0.25">
      <c r="B93" s="443" t="s">
        <v>463</v>
      </c>
      <c r="C93" s="388" t="s">
        <v>347</v>
      </c>
      <c r="D93" s="380" t="s">
        <v>234</v>
      </c>
      <c r="E93" s="381">
        <v>10.75</v>
      </c>
      <c r="F93" s="382">
        <v>19.04</v>
      </c>
      <c r="G93" s="305">
        <f t="shared" si="54"/>
        <v>204.68</v>
      </c>
      <c r="I93" s="151">
        <f t="shared" si="55"/>
        <v>0</v>
      </c>
      <c r="J93" s="447"/>
      <c r="L93" s="151">
        <f t="shared" si="56"/>
        <v>1</v>
      </c>
      <c r="M93" s="447">
        <v>204.68</v>
      </c>
      <c r="O93" s="151">
        <f t="shared" si="57"/>
        <v>0</v>
      </c>
      <c r="P93" s="447"/>
    </row>
    <row r="94" spans="2:18" ht="15" customHeight="1" x14ac:dyDescent="0.25">
      <c r="B94" s="443" t="s">
        <v>464</v>
      </c>
      <c r="C94" s="388" t="s">
        <v>444</v>
      </c>
      <c r="D94" s="380" t="s">
        <v>234</v>
      </c>
      <c r="E94" s="381">
        <v>8.75</v>
      </c>
      <c r="F94" s="382">
        <v>28.21</v>
      </c>
      <c r="G94" s="305">
        <f t="shared" si="54"/>
        <v>246.84</v>
      </c>
      <c r="I94" s="151">
        <f t="shared" si="55"/>
        <v>0</v>
      </c>
      <c r="J94" s="447"/>
      <c r="L94" s="151">
        <f t="shared" si="56"/>
        <v>1</v>
      </c>
      <c r="M94" s="447">
        <v>246.84</v>
      </c>
      <c r="O94" s="151">
        <f t="shared" si="57"/>
        <v>0</v>
      </c>
      <c r="P94" s="447"/>
    </row>
    <row r="95" spans="2:18" ht="15" customHeight="1" x14ac:dyDescent="0.25">
      <c r="B95" s="443" t="s">
        <v>465</v>
      </c>
      <c r="C95" s="389" t="s">
        <v>349</v>
      </c>
      <c r="D95" s="380" t="s">
        <v>234</v>
      </c>
      <c r="E95" s="381">
        <v>8.75</v>
      </c>
      <c r="F95" s="382">
        <v>18.98</v>
      </c>
      <c r="G95" s="305">
        <f t="shared" si="54"/>
        <v>166.08</v>
      </c>
      <c r="I95" s="151">
        <f t="shared" si="55"/>
        <v>0</v>
      </c>
      <c r="J95" s="447"/>
      <c r="L95" s="151">
        <f t="shared" si="56"/>
        <v>1</v>
      </c>
      <c r="M95" s="447">
        <v>166.08</v>
      </c>
      <c r="O95" s="151">
        <f t="shared" si="57"/>
        <v>0</v>
      </c>
      <c r="P95" s="447"/>
    </row>
    <row r="96" spans="2:18" ht="15" customHeight="1" x14ac:dyDescent="0.25">
      <c r="B96" s="442" t="s">
        <v>466</v>
      </c>
      <c r="C96" s="387" t="s">
        <v>467</v>
      </c>
      <c r="D96" s="390"/>
      <c r="E96" s="391"/>
      <c r="F96" s="392"/>
      <c r="G96" s="306"/>
      <c r="I96" s="451"/>
      <c r="J96" s="447"/>
      <c r="L96" s="447"/>
      <c r="M96" s="447"/>
      <c r="O96" s="447"/>
      <c r="P96" s="447"/>
    </row>
    <row r="97" spans="2:16" ht="15" customHeight="1" x14ac:dyDescent="0.25">
      <c r="B97" s="443" t="s">
        <v>468</v>
      </c>
      <c r="C97" s="388" t="s">
        <v>469</v>
      </c>
      <c r="D97" s="380" t="s">
        <v>102</v>
      </c>
      <c r="E97" s="381">
        <v>653.79999999999995</v>
      </c>
      <c r="F97" s="382">
        <v>7.85</v>
      </c>
      <c r="G97" s="305">
        <f t="shared" ref="G97:G101" si="58">ROUND(E97*F97,2)</f>
        <v>5132.33</v>
      </c>
      <c r="I97" s="151">
        <f t="shared" ref="I97:I101" si="59">ROUND(J97/$G97,4)</f>
        <v>0</v>
      </c>
      <c r="J97" s="447"/>
      <c r="L97" s="151">
        <f t="shared" ref="L97:L101" si="60">ROUND(M97/$G97,4)</f>
        <v>0</v>
      </c>
      <c r="M97" s="447"/>
      <c r="O97" s="151">
        <f t="shared" ref="O97:O101" si="61">ROUND(P97/$G97,4)</f>
        <v>1</v>
      </c>
      <c r="P97" s="447">
        <v>5132.33</v>
      </c>
    </row>
    <row r="98" spans="2:16" ht="15" customHeight="1" x14ac:dyDescent="0.25">
      <c r="B98" s="443" t="s">
        <v>470</v>
      </c>
      <c r="C98" s="388" t="s">
        <v>471</v>
      </c>
      <c r="D98" s="380" t="s">
        <v>101</v>
      </c>
      <c r="E98" s="381">
        <v>251.02</v>
      </c>
      <c r="F98" s="382">
        <v>73.97</v>
      </c>
      <c r="G98" s="305">
        <f t="shared" si="58"/>
        <v>18567.95</v>
      </c>
      <c r="I98" s="151">
        <f t="shared" si="59"/>
        <v>0</v>
      </c>
      <c r="J98" s="447"/>
      <c r="L98" s="151">
        <f t="shared" si="60"/>
        <v>0.18920000000000001</v>
      </c>
      <c r="M98" s="447">
        <v>3512.19</v>
      </c>
      <c r="O98" s="151">
        <f t="shared" si="61"/>
        <v>0.81079999999999997</v>
      </c>
      <c r="P98" s="447">
        <v>15055.76</v>
      </c>
    </row>
    <row r="99" spans="2:16" ht="15" customHeight="1" x14ac:dyDescent="0.25">
      <c r="B99" s="443" t="s">
        <v>472</v>
      </c>
      <c r="C99" s="389" t="s">
        <v>473</v>
      </c>
      <c r="D99" s="380" t="s">
        <v>234</v>
      </c>
      <c r="E99" s="381">
        <v>32.94</v>
      </c>
      <c r="F99" s="382">
        <v>477.23</v>
      </c>
      <c r="G99" s="305">
        <f t="shared" si="58"/>
        <v>15719.96</v>
      </c>
      <c r="I99" s="151">
        <f t="shared" si="59"/>
        <v>0</v>
      </c>
      <c r="J99" s="447"/>
      <c r="L99" s="151">
        <f t="shared" si="60"/>
        <v>0</v>
      </c>
      <c r="M99" s="447"/>
      <c r="O99" s="151">
        <f t="shared" si="61"/>
        <v>1</v>
      </c>
      <c r="P99" s="447">
        <v>15719.96</v>
      </c>
    </row>
    <row r="100" spans="2:16" ht="15" customHeight="1" x14ac:dyDescent="0.25">
      <c r="B100" s="443" t="s">
        <v>474</v>
      </c>
      <c r="C100" s="388" t="s">
        <v>365</v>
      </c>
      <c r="D100" s="380" t="s">
        <v>101</v>
      </c>
      <c r="E100" s="381">
        <v>219.61</v>
      </c>
      <c r="F100" s="382">
        <v>2.92</v>
      </c>
      <c r="G100" s="305">
        <f t="shared" si="58"/>
        <v>641.26</v>
      </c>
      <c r="I100" s="151">
        <f t="shared" si="59"/>
        <v>0</v>
      </c>
      <c r="J100" s="447"/>
      <c r="L100" s="151">
        <f t="shared" si="60"/>
        <v>0</v>
      </c>
      <c r="M100" s="447"/>
      <c r="O100" s="151">
        <f t="shared" si="61"/>
        <v>1</v>
      </c>
      <c r="P100" s="447">
        <v>641.26</v>
      </c>
    </row>
    <row r="101" spans="2:16" ht="15" customHeight="1" x14ac:dyDescent="0.25">
      <c r="B101" s="443" t="s">
        <v>475</v>
      </c>
      <c r="C101" s="388" t="s">
        <v>411</v>
      </c>
      <c r="D101" s="380" t="s">
        <v>145</v>
      </c>
      <c r="E101" s="381">
        <v>6</v>
      </c>
      <c r="F101" s="382">
        <v>4.4800000000000004</v>
      </c>
      <c r="G101" s="305">
        <f t="shared" si="58"/>
        <v>26.88</v>
      </c>
      <c r="I101" s="151">
        <f t="shared" si="59"/>
        <v>0</v>
      </c>
      <c r="J101" s="447"/>
      <c r="L101" s="151">
        <f t="shared" si="60"/>
        <v>0</v>
      </c>
      <c r="M101" s="447"/>
      <c r="O101" s="151">
        <f t="shared" si="61"/>
        <v>1</v>
      </c>
      <c r="P101" s="447">
        <v>26.88</v>
      </c>
    </row>
    <row r="102" spans="2:16" ht="15" customHeight="1" x14ac:dyDescent="0.25">
      <c r="B102" s="441" t="s">
        <v>476</v>
      </c>
      <c r="C102" s="386" t="s">
        <v>477</v>
      </c>
      <c r="D102" s="393"/>
      <c r="E102" s="394"/>
      <c r="F102" s="395"/>
      <c r="G102" s="306"/>
      <c r="I102" s="451"/>
      <c r="J102" s="447"/>
      <c r="L102" s="447"/>
      <c r="M102" s="447"/>
      <c r="O102" s="447"/>
      <c r="P102" s="447"/>
    </row>
    <row r="103" spans="2:16" ht="15" customHeight="1" x14ac:dyDescent="0.25">
      <c r="B103" s="442" t="s">
        <v>478</v>
      </c>
      <c r="C103" s="399" t="s">
        <v>479</v>
      </c>
      <c r="D103" s="390"/>
      <c r="E103" s="391"/>
      <c r="F103" s="392"/>
      <c r="G103" s="306"/>
      <c r="I103" s="451"/>
      <c r="J103" s="447"/>
      <c r="L103" s="447"/>
      <c r="M103" s="447"/>
      <c r="O103" s="447"/>
      <c r="P103" s="447"/>
    </row>
    <row r="104" spans="2:16" ht="15" customHeight="1" x14ac:dyDescent="0.25">
      <c r="B104" s="443" t="s">
        <v>480</v>
      </c>
      <c r="C104" s="388" t="s">
        <v>229</v>
      </c>
      <c r="D104" s="380" t="s">
        <v>101</v>
      </c>
      <c r="E104" s="381">
        <v>20.079999999999998</v>
      </c>
      <c r="F104" s="382">
        <v>1.06</v>
      </c>
      <c r="G104" s="305">
        <f t="shared" ref="G104:G105" si="62">ROUND(E104*F104,2)</f>
        <v>21.28</v>
      </c>
      <c r="I104" s="151">
        <f t="shared" ref="I104:I105" si="63">ROUND(J104/$G104,4)</f>
        <v>0</v>
      </c>
      <c r="J104" s="447"/>
      <c r="L104" s="151">
        <f t="shared" ref="L104:L105" si="64">ROUND(M104/$G104,4)</f>
        <v>1</v>
      </c>
      <c r="M104" s="447">
        <v>21.28</v>
      </c>
      <c r="O104" s="151">
        <f t="shared" ref="O104:O105" si="65">ROUND(P104/$G104,4)</f>
        <v>0</v>
      </c>
      <c r="P104" s="447"/>
    </row>
    <row r="105" spans="2:16" ht="15" customHeight="1" x14ac:dyDescent="0.25">
      <c r="B105" s="443" t="s">
        <v>481</v>
      </c>
      <c r="C105" s="388" t="s">
        <v>482</v>
      </c>
      <c r="D105" s="380" t="s">
        <v>101</v>
      </c>
      <c r="E105" s="381">
        <v>20.079999999999998</v>
      </c>
      <c r="F105" s="382">
        <v>1.69</v>
      </c>
      <c r="G105" s="305">
        <f t="shared" si="62"/>
        <v>33.94</v>
      </c>
      <c r="I105" s="151">
        <f t="shared" si="63"/>
        <v>0</v>
      </c>
      <c r="J105" s="447"/>
      <c r="L105" s="151">
        <f t="shared" si="64"/>
        <v>0</v>
      </c>
      <c r="M105" s="447"/>
      <c r="O105" s="151">
        <f t="shared" si="65"/>
        <v>1</v>
      </c>
      <c r="P105" s="447">
        <v>33.94</v>
      </c>
    </row>
    <row r="106" spans="2:16" ht="15" customHeight="1" x14ac:dyDescent="0.25">
      <c r="B106" s="442" t="s">
        <v>483</v>
      </c>
      <c r="C106" s="387" t="s">
        <v>226</v>
      </c>
      <c r="D106" s="390"/>
      <c r="E106" s="391"/>
      <c r="F106" s="392"/>
      <c r="G106" s="306"/>
      <c r="I106" s="451"/>
      <c r="J106" s="447"/>
      <c r="L106" s="447"/>
      <c r="M106" s="447"/>
      <c r="O106" s="447"/>
      <c r="P106" s="447"/>
    </row>
    <row r="107" spans="2:16" ht="15" customHeight="1" x14ac:dyDescent="0.25">
      <c r="B107" s="443" t="s">
        <v>484</v>
      </c>
      <c r="C107" s="388" t="s">
        <v>392</v>
      </c>
      <c r="D107" s="380" t="s">
        <v>234</v>
      </c>
      <c r="E107" s="381">
        <v>22.39</v>
      </c>
      <c r="F107" s="382">
        <v>22.11</v>
      </c>
      <c r="G107" s="305">
        <f t="shared" ref="G107:G109" si="66">ROUND(E107*F107,2)</f>
        <v>495.04</v>
      </c>
      <c r="I107" s="151">
        <f t="shared" ref="I107:I109" si="67">ROUND(J107/$G107,4)</f>
        <v>0</v>
      </c>
      <c r="J107" s="447"/>
      <c r="L107" s="151">
        <f t="shared" ref="L107:L109" si="68">ROUND(M107/$G107,4)</f>
        <v>0</v>
      </c>
      <c r="M107" s="447"/>
      <c r="O107" s="151">
        <f t="shared" ref="O107:O109" si="69">ROUND(P107/$G107,4)</f>
        <v>1</v>
      </c>
      <c r="P107" s="447">
        <v>495.04</v>
      </c>
    </row>
    <row r="108" spans="2:16" ht="15" customHeight="1" x14ac:dyDescent="0.25">
      <c r="B108" s="443" t="s">
        <v>485</v>
      </c>
      <c r="C108" s="388" t="s">
        <v>486</v>
      </c>
      <c r="D108" s="380" t="s">
        <v>234</v>
      </c>
      <c r="E108" s="381">
        <v>14.57</v>
      </c>
      <c r="F108" s="382">
        <v>83.65</v>
      </c>
      <c r="G108" s="305">
        <f t="shared" si="66"/>
        <v>1218.78</v>
      </c>
      <c r="I108" s="151">
        <f t="shared" si="67"/>
        <v>0</v>
      </c>
      <c r="J108" s="447"/>
      <c r="L108" s="151">
        <f t="shared" si="68"/>
        <v>0</v>
      </c>
      <c r="M108" s="447"/>
      <c r="O108" s="151">
        <f t="shared" si="69"/>
        <v>1</v>
      </c>
      <c r="P108" s="447">
        <v>1218.78</v>
      </c>
    </row>
    <row r="109" spans="2:16" ht="15" customHeight="1" x14ac:dyDescent="0.25">
      <c r="B109" s="443" t="s">
        <v>487</v>
      </c>
      <c r="C109" s="389" t="s">
        <v>349</v>
      </c>
      <c r="D109" s="380" t="s">
        <v>234</v>
      </c>
      <c r="E109" s="381">
        <v>9.7799999999999994</v>
      </c>
      <c r="F109" s="382">
        <v>18.98</v>
      </c>
      <c r="G109" s="305">
        <f t="shared" si="66"/>
        <v>185.62</v>
      </c>
      <c r="I109" s="151">
        <f t="shared" si="67"/>
        <v>0</v>
      </c>
      <c r="J109" s="447"/>
      <c r="L109" s="151">
        <f t="shared" si="68"/>
        <v>0</v>
      </c>
      <c r="M109" s="447"/>
      <c r="O109" s="151">
        <f t="shared" si="69"/>
        <v>1</v>
      </c>
      <c r="P109" s="447">
        <v>185.62</v>
      </c>
    </row>
    <row r="110" spans="2:16" ht="15" customHeight="1" x14ac:dyDescent="0.25">
      <c r="B110" s="442" t="s">
        <v>488</v>
      </c>
      <c r="C110" s="387" t="s">
        <v>227</v>
      </c>
      <c r="D110" s="390"/>
      <c r="E110" s="391"/>
      <c r="F110" s="392"/>
      <c r="G110" s="306"/>
      <c r="I110" s="451"/>
      <c r="J110" s="447"/>
      <c r="L110" s="447"/>
      <c r="M110" s="447"/>
      <c r="O110" s="447"/>
      <c r="P110" s="447"/>
    </row>
    <row r="111" spans="2:16" ht="15" customHeight="1" x14ac:dyDescent="0.25">
      <c r="B111" s="443" t="s">
        <v>489</v>
      </c>
      <c r="C111" s="388" t="s">
        <v>490</v>
      </c>
      <c r="D111" s="380" t="s">
        <v>101</v>
      </c>
      <c r="E111" s="381">
        <v>20.079999999999998</v>
      </c>
      <c r="F111" s="382">
        <v>40.1</v>
      </c>
      <c r="G111" s="305">
        <f>ROUND(E111*F111,2)</f>
        <v>805.21</v>
      </c>
      <c r="I111" s="151">
        <f>ROUND(J111/$G111,4)</f>
        <v>0</v>
      </c>
      <c r="J111" s="447"/>
      <c r="L111" s="151">
        <f>ROUND(M111/$G111,4)</f>
        <v>0</v>
      </c>
      <c r="M111" s="447"/>
      <c r="O111" s="151">
        <f>ROUND(P111/$G111,4)</f>
        <v>1</v>
      </c>
      <c r="P111" s="447">
        <v>805.21</v>
      </c>
    </row>
    <row r="112" spans="2:16" ht="15" customHeight="1" x14ac:dyDescent="0.25">
      <c r="B112" s="442" t="s">
        <v>491</v>
      </c>
      <c r="C112" s="387" t="s">
        <v>228</v>
      </c>
      <c r="D112" s="390"/>
      <c r="E112" s="391"/>
      <c r="F112" s="392"/>
      <c r="G112" s="306"/>
      <c r="I112" s="451"/>
      <c r="J112" s="447"/>
      <c r="L112" s="447"/>
      <c r="M112" s="447"/>
      <c r="O112" s="447"/>
      <c r="P112" s="447"/>
    </row>
    <row r="113" spans="2:20" ht="15" customHeight="1" x14ac:dyDescent="0.25">
      <c r="B113" s="444" t="s">
        <v>492</v>
      </c>
      <c r="C113" s="400" t="s">
        <v>232</v>
      </c>
      <c r="D113" s="401"/>
      <c r="E113" s="402"/>
      <c r="F113" s="403"/>
      <c r="G113" s="306"/>
      <c r="I113" s="451"/>
      <c r="J113" s="447"/>
      <c r="L113" s="447"/>
      <c r="M113" s="447"/>
      <c r="O113" s="447"/>
      <c r="P113" s="447"/>
    </row>
    <row r="114" spans="2:20" ht="15" customHeight="1" x14ac:dyDescent="0.25">
      <c r="B114" s="443" t="s">
        <v>493</v>
      </c>
      <c r="C114" s="388" t="s">
        <v>469</v>
      </c>
      <c r="D114" s="380" t="s">
        <v>102</v>
      </c>
      <c r="E114" s="381">
        <v>400.33</v>
      </c>
      <c r="F114" s="382">
        <v>7.85</v>
      </c>
      <c r="G114" s="305">
        <f t="shared" ref="G114:G117" si="70">ROUND(E114*F114,2)</f>
        <v>3142.59</v>
      </c>
      <c r="I114" s="151">
        <f t="shared" ref="I114:I117" si="71">ROUND(J114/$G114,4)</f>
        <v>0</v>
      </c>
      <c r="J114" s="447"/>
      <c r="L114" s="151">
        <f t="shared" ref="L114:L117" si="72">ROUND(M114/$G114,4)</f>
        <v>0</v>
      </c>
      <c r="M114" s="447"/>
      <c r="O114" s="151">
        <f t="shared" ref="O114:O117" si="73">ROUND(P114/$G114,4)</f>
        <v>1</v>
      </c>
      <c r="P114" s="447">
        <v>3142.59</v>
      </c>
    </row>
    <row r="115" spans="2:20" ht="15" customHeight="1" x14ac:dyDescent="0.25">
      <c r="B115" s="443" t="s">
        <v>494</v>
      </c>
      <c r="C115" s="388" t="s">
        <v>495</v>
      </c>
      <c r="D115" s="380" t="s">
        <v>101</v>
      </c>
      <c r="E115" s="381">
        <v>14.88</v>
      </c>
      <c r="F115" s="382">
        <v>73.97</v>
      </c>
      <c r="G115" s="305">
        <f t="shared" si="70"/>
        <v>1100.67</v>
      </c>
      <c r="I115" s="151">
        <f t="shared" si="71"/>
        <v>0</v>
      </c>
      <c r="J115" s="447"/>
      <c r="L115" s="151">
        <f t="shared" si="72"/>
        <v>0</v>
      </c>
      <c r="M115" s="447"/>
      <c r="O115" s="151">
        <f t="shared" si="73"/>
        <v>1</v>
      </c>
      <c r="P115" s="447">
        <v>1100.67</v>
      </c>
      <c r="T115" s="460">
        <f>+I10+60-1</f>
        <v>46252</v>
      </c>
    </row>
    <row r="116" spans="2:20" ht="15" customHeight="1" x14ac:dyDescent="0.25">
      <c r="B116" s="443" t="s">
        <v>496</v>
      </c>
      <c r="C116" s="388" t="s">
        <v>497</v>
      </c>
      <c r="D116" s="380" t="s">
        <v>234</v>
      </c>
      <c r="E116" s="381">
        <v>6.01</v>
      </c>
      <c r="F116" s="382">
        <v>630.15</v>
      </c>
      <c r="G116" s="305">
        <f t="shared" si="70"/>
        <v>3787.2</v>
      </c>
      <c r="I116" s="151">
        <f t="shared" si="71"/>
        <v>0</v>
      </c>
      <c r="J116" s="447"/>
      <c r="L116" s="151">
        <f t="shared" si="72"/>
        <v>0</v>
      </c>
      <c r="M116" s="447"/>
      <c r="O116" s="151">
        <f t="shared" si="73"/>
        <v>1</v>
      </c>
      <c r="P116" s="447">
        <v>3787.2</v>
      </c>
    </row>
    <row r="117" spans="2:20" ht="15" customHeight="1" x14ac:dyDescent="0.25">
      <c r="B117" s="443" t="s">
        <v>498</v>
      </c>
      <c r="C117" s="388" t="s">
        <v>409</v>
      </c>
      <c r="D117" s="380" t="s">
        <v>101</v>
      </c>
      <c r="E117" s="381">
        <v>20.079999999999998</v>
      </c>
      <c r="F117" s="382">
        <v>2.92</v>
      </c>
      <c r="G117" s="305">
        <f t="shared" si="70"/>
        <v>58.63</v>
      </c>
      <c r="I117" s="151">
        <f t="shared" si="71"/>
        <v>0</v>
      </c>
      <c r="J117" s="447"/>
      <c r="L117" s="151">
        <f t="shared" si="72"/>
        <v>0</v>
      </c>
      <c r="M117" s="447"/>
      <c r="O117" s="151">
        <f t="shared" si="73"/>
        <v>1</v>
      </c>
      <c r="P117" s="447">
        <v>58.63</v>
      </c>
    </row>
    <row r="118" spans="2:20" ht="15" customHeight="1" x14ac:dyDescent="0.25">
      <c r="B118" s="444" t="s">
        <v>499</v>
      </c>
      <c r="C118" s="400" t="s">
        <v>500</v>
      </c>
      <c r="D118" s="401"/>
      <c r="E118" s="402"/>
      <c r="F118" s="403"/>
      <c r="G118" s="306"/>
      <c r="I118" s="451"/>
      <c r="J118" s="447"/>
      <c r="L118" s="447"/>
      <c r="M118" s="447"/>
      <c r="O118" s="447"/>
      <c r="P118" s="447"/>
    </row>
    <row r="119" spans="2:20" ht="15" customHeight="1" x14ac:dyDescent="0.25">
      <c r="B119" s="443" t="s">
        <v>501</v>
      </c>
      <c r="C119" s="388" t="s">
        <v>469</v>
      </c>
      <c r="D119" s="380" t="s">
        <v>102</v>
      </c>
      <c r="E119" s="381">
        <v>175.55</v>
      </c>
      <c r="F119" s="382">
        <v>7.85</v>
      </c>
      <c r="G119" s="305">
        <f t="shared" ref="G119:G122" si="74">ROUND(E119*F119,2)</f>
        <v>1378.07</v>
      </c>
      <c r="I119" s="151">
        <f t="shared" ref="I119:I122" si="75">ROUND(J119/$G119,4)</f>
        <v>0</v>
      </c>
      <c r="J119" s="447"/>
      <c r="L119" s="151">
        <f t="shared" ref="L119:L122" si="76">ROUND(M119/$G119,4)</f>
        <v>0</v>
      </c>
      <c r="M119" s="447"/>
      <c r="O119" s="151">
        <f t="shared" ref="O119:O122" si="77">ROUND(P119/$G119,4)</f>
        <v>1</v>
      </c>
      <c r="P119" s="447">
        <v>1378.07</v>
      </c>
    </row>
    <row r="120" spans="2:20" ht="15" customHeight="1" x14ac:dyDescent="0.25">
      <c r="B120" s="443" t="s">
        <v>502</v>
      </c>
      <c r="C120" s="388" t="s">
        <v>503</v>
      </c>
      <c r="D120" s="380" t="s">
        <v>101</v>
      </c>
      <c r="E120" s="381">
        <v>53.48</v>
      </c>
      <c r="F120" s="382">
        <v>73.97</v>
      </c>
      <c r="G120" s="305">
        <f t="shared" si="74"/>
        <v>3955.92</v>
      </c>
      <c r="I120" s="151">
        <f t="shared" si="75"/>
        <v>0</v>
      </c>
      <c r="J120" s="447"/>
      <c r="L120" s="151">
        <f t="shared" si="76"/>
        <v>0</v>
      </c>
      <c r="M120" s="447"/>
      <c r="O120" s="151">
        <f t="shared" si="77"/>
        <v>1</v>
      </c>
      <c r="P120" s="447">
        <v>3955.92</v>
      </c>
    </row>
    <row r="121" spans="2:20" ht="15" customHeight="1" x14ac:dyDescent="0.25">
      <c r="B121" s="443" t="s">
        <v>504</v>
      </c>
      <c r="C121" s="388" t="s">
        <v>505</v>
      </c>
      <c r="D121" s="380" t="s">
        <v>234</v>
      </c>
      <c r="E121" s="381">
        <v>3.82</v>
      </c>
      <c r="F121" s="382">
        <v>630.15</v>
      </c>
      <c r="G121" s="305">
        <f t="shared" si="74"/>
        <v>2407.17</v>
      </c>
      <c r="I121" s="151">
        <f t="shared" si="75"/>
        <v>0</v>
      </c>
      <c r="J121" s="447"/>
      <c r="L121" s="151">
        <f t="shared" si="76"/>
        <v>0</v>
      </c>
      <c r="M121" s="447"/>
      <c r="O121" s="151">
        <f t="shared" si="77"/>
        <v>1</v>
      </c>
      <c r="P121" s="447">
        <v>2407.17</v>
      </c>
    </row>
    <row r="122" spans="2:20" ht="15" customHeight="1" x14ac:dyDescent="0.25">
      <c r="B122" s="443" t="s">
        <v>506</v>
      </c>
      <c r="C122" s="388" t="s">
        <v>409</v>
      </c>
      <c r="D122" s="380" t="s">
        <v>101</v>
      </c>
      <c r="E122" s="381">
        <v>50.96</v>
      </c>
      <c r="F122" s="382">
        <v>2.92</v>
      </c>
      <c r="G122" s="305">
        <f t="shared" si="74"/>
        <v>148.80000000000001</v>
      </c>
      <c r="I122" s="151">
        <f t="shared" si="75"/>
        <v>0</v>
      </c>
      <c r="J122" s="447"/>
      <c r="L122" s="151">
        <f t="shared" si="76"/>
        <v>0</v>
      </c>
      <c r="M122" s="447"/>
      <c r="O122" s="151">
        <f t="shared" si="77"/>
        <v>1</v>
      </c>
      <c r="P122" s="447">
        <v>148.80000000000001</v>
      </c>
    </row>
    <row r="123" spans="2:20" ht="15" customHeight="1" x14ac:dyDescent="0.25">
      <c r="B123" s="441" t="s">
        <v>507</v>
      </c>
      <c r="C123" s="404" t="s">
        <v>508</v>
      </c>
      <c r="D123" s="405"/>
      <c r="E123" s="406"/>
      <c r="F123" s="407"/>
      <c r="G123" s="306"/>
      <c r="I123" s="451"/>
      <c r="J123" s="447"/>
      <c r="L123" s="447"/>
      <c r="M123" s="447"/>
      <c r="O123" s="447"/>
      <c r="P123" s="447"/>
    </row>
    <row r="124" spans="2:20" ht="15" customHeight="1" x14ac:dyDescent="0.25">
      <c r="B124" s="442" t="s">
        <v>509</v>
      </c>
      <c r="C124" s="387" t="s">
        <v>226</v>
      </c>
      <c r="D124" s="390"/>
      <c r="E124" s="391"/>
      <c r="F124" s="392"/>
      <c r="G124" s="306"/>
      <c r="I124" s="451"/>
      <c r="J124" s="447"/>
      <c r="L124" s="447"/>
      <c r="M124" s="447"/>
      <c r="O124" s="447"/>
      <c r="P124" s="447"/>
    </row>
    <row r="125" spans="2:20" ht="15" customHeight="1" x14ac:dyDescent="0.25">
      <c r="B125" s="443" t="s">
        <v>510</v>
      </c>
      <c r="C125" s="388" t="s">
        <v>511</v>
      </c>
      <c r="D125" s="380" t="s">
        <v>234</v>
      </c>
      <c r="E125" s="381">
        <v>7.58</v>
      </c>
      <c r="F125" s="382">
        <v>63.47</v>
      </c>
      <c r="G125" s="305">
        <f t="shared" ref="G125:G129" si="78">ROUND(E125*F125,2)</f>
        <v>481.1</v>
      </c>
      <c r="I125" s="151">
        <f t="shared" ref="I125:I129" si="79">ROUND(J125/$G125,4)</f>
        <v>0</v>
      </c>
      <c r="J125" s="447"/>
      <c r="L125" s="151">
        <f t="shared" ref="L125:L129" si="80">ROUND(M125/$G125,4)</f>
        <v>0</v>
      </c>
      <c r="M125" s="447"/>
      <c r="O125" s="151">
        <f t="shared" ref="O125:O129" si="81">ROUND(P125/$G125,4)</f>
        <v>1</v>
      </c>
      <c r="P125" s="447">
        <v>481.1</v>
      </c>
    </row>
    <row r="126" spans="2:20" ht="15" customHeight="1" x14ac:dyDescent="0.25">
      <c r="B126" s="443" t="s">
        <v>512</v>
      </c>
      <c r="C126" s="388" t="s">
        <v>513</v>
      </c>
      <c r="D126" s="380" t="s">
        <v>234</v>
      </c>
      <c r="E126" s="381">
        <v>1.8</v>
      </c>
      <c r="F126" s="382">
        <v>83.65</v>
      </c>
      <c r="G126" s="305">
        <f t="shared" si="78"/>
        <v>150.57</v>
      </c>
      <c r="I126" s="151">
        <f t="shared" si="79"/>
        <v>0</v>
      </c>
      <c r="J126" s="447"/>
      <c r="L126" s="151">
        <f t="shared" si="80"/>
        <v>0</v>
      </c>
      <c r="M126" s="447"/>
      <c r="O126" s="151">
        <f t="shared" si="81"/>
        <v>1</v>
      </c>
      <c r="P126" s="447">
        <v>150.57</v>
      </c>
    </row>
    <row r="127" spans="2:20" ht="15" customHeight="1" x14ac:dyDescent="0.25">
      <c r="B127" s="443" t="s">
        <v>514</v>
      </c>
      <c r="C127" s="388" t="s">
        <v>515</v>
      </c>
      <c r="D127" s="380" t="s">
        <v>101</v>
      </c>
      <c r="E127" s="381">
        <v>21.66</v>
      </c>
      <c r="F127" s="382">
        <v>4.6500000000000004</v>
      </c>
      <c r="G127" s="305">
        <f t="shared" si="78"/>
        <v>100.72</v>
      </c>
      <c r="I127" s="151">
        <f t="shared" si="79"/>
        <v>0</v>
      </c>
      <c r="J127" s="447"/>
      <c r="L127" s="151">
        <f t="shared" si="80"/>
        <v>0</v>
      </c>
      <c r="M127" s="447"/>
      <c r="O127" s="151">
        <f t="shared" si="81"/>
        <v>1</v>
      </c>
      <c r="P127" s="447">
        <v>100.72</v>
      </c>
    </row>
    <row r="128" spans="2:20" ht="15" customHeight="1" x14ac:dyDescent="0.25">
      <c r="B128" s="443" t="s">
        <v>516</v>
      </c>
      <c r="C128" s="389" t="s">
        <v>349</v>
      </c>
      <c r="D128" s="380" t="s">
        <v>234</v>
      </c>
      <c r="E128" s="381">
        <v>9.48</v>
      </c>
      <c r="F128" s="382">
        <v>18.98</v>
      </c>
      <c r="G128" s="305">
        <f t="shared" si="78"/>
        <v>179.93</v>
      </c>
      <c r="I128" s="151">
        <f t="shared" si="79"/>
        <v>0</v>
      </c>
      <c r="J128" s="447"/>
      <c r="L128" s="151">
        <f t="shared" si="80"/>
        <v>0</v>
      </c>
      <c r="M128" s="447"/>
      <c r="O128" s="151">
        <f t="shared" si="81"/>
        <v>1</v>
      </c>
      <c r="P128" s="447">
        <v>179.93</v>
      </c>
    </row>
    <row r="129" spans="2:16" ht="15" customHeight="1" x14ac:dyDescent="0.25">
      <c r="B129" s="443" t="s">
        <v>517</v>
      </c>
      <c r="C129" s="389" t="s">
        <v>518</v>
      </c>
      <c r="D129" s="380" t="s">
        <v>101</v>
      </c>
      <c r="E129" s="381">
        <v>21.66</v>
      </c>
      <c r="F129" s="382">
        <v>60.87</v>
      </c>
      <c r="G129" s="305">
        <f t="shared" si="78"/>
        <v>1318.44</v>
      </c>
      <c r="I129" s="151">
        <f t="shared" si="79"/>
        <v>0</v>
      </c>
      <c r="J129" s="447"/>
      <c r="L129" s="151">
        <f t="shared" si="80"/>
        <v>0</v>
      </c>
      <c r="M129" s="447"/>
      <c r="O129" s="151">
        <f t="shared" si="81"/>
        <v>1</v>
      </c>
      <c r="P129" s="447">
        <v>1318.44</v>
      </c>
    </row>
    <row r="130" spans="2:16" ht="15" customHeight="1" x14ac:dyDescent="0.25">
      <c r="B130" s="442" t="s">
        <v>519</v>
      </c>
      <c r="C130" s="399" t="s">
        <v>227</v>
      </c>
      <c r="D130" s="390"/>
      <c r="E130" s="391"/>
      <c r="F130" s="392"/>
      <c r="G130" s="306"/>
      <c r="I130" s="451"/>
      <c r="J130" s="447"/>
      <c r="L130" s="447"/>
      <c r="M130" s="447"/>
      <c r="O130" s="447"/>
      <c r="P130" s="447"/>
    </row>
    <row r="131" spans="2:16" ht="15" customHeight="1" x14ac:dyDescent="0.25">
      <c r="B131" s="443" t="s">
        <v>520</v>
      </c>
      <c r="C131" s="388" t="s">
        <v>521</v>
      </c>
      <c r="D131" s="380" t="s">
        <v>234</v>
      </c>
      <c r="E131" s="381">
        <v>6.75</v>
      </c>
      <c r="F131" s="382">
        <v>485.73</v>
      </c>
      <c r="G131" s="305">
        <f t="shared" ref="G131:G133" si="82">ROUND(E131*F131,2)</f>
        <v>3278.68</v>
      </c>
      <c r="I131" s="151">
        <f t="shared" ref="I131:I133" si="83">ROUND(J131/$G131,4)</f>
        <v>0</v>
      </c>
      <c r="J131" s="447"/>
      <c r="L131" s="151">
        <f t="shared" ref="L131:L133" si="84">ROUND(M131/$G131,4)</f>
        <v>0</v>
      </c>
      <c r="M131" s="447"/>
      <c r="O131" s="151">
        <f t="shared" ref="O131:O133" si="85">ROUND(P131/$G131,4)</f>
        <v>1</v>
      </c>
      <c r="P131" s="447">
        <v>3278.68</v>
      </c>
    </row>
    <row r="132" spans="2:16" ht="15" customHeight="1" x14ac:dyDescent="0.25">
      <c r="B132" s="443" t="s">
        <v>522</v>
      </c>
      <c r="C132" s="388" t="s">
        <v>523</v>
      </c>
      <c r="D132" s="380" t="s">
        <v>101</v>
      </c>
      <c r="E132" s="381">
        <v>5.78</v>
      </c>
      <c r="F132" s="382">
        <v>74.11</v>
      </c>
      <c r="G132" s="305">
        <f t="shared" si="82"/>
        <v>428.36</v>
      </c>
      <c r="I132" s="151">
        <f t="shared" si="83"/>
        <v>0</v>
      </c>
      <c r="J132" s="447"/>
      <c r="L132" s="151">
        <f t="shared" si="84"/>
        <v>0</v>
      </c>
      <c r="M132" s="447"/>
      <c r="O132" s="151">
        <f t="shared" si="85"/>
        <v>1</v>
      </c>
      <c r="P132" s="447">
        <v>428.36</v>
      </c>
    </row>
    <row r="133" spans="2:16" ht="15" customHeight="1" x14ac:dyDescent="0.25">
      <c r="B133" s="443" t="s">
        <v>524</v>
      </c>
      <c r="C133" s="388" t="s">
        <v>525</v>
      </c>
      <c r="D133" s="380" t="s">
        <v>101</v>
      </c>
      <c r="E133" s="381">
        <v>21.66</v>
      </c>
      <c r="F133" s="382">
        <v>2.92</v>
      </c>
      <c r="G133" s="305">
        <f t="shared" si="82"/>
        <v>63.25</v>
      </c>
      <c r="I133" s="151">
        <f t="shared" si="83"/>
        <v>0</v>
      </c>
      <c r="J133" s="447"/>
      <c r="L133" s="151">
        <f t="shared" si="84"/>
        <v>0</v>
      </c>
      <c r="M133" s="447"/>
      <c r="O133" s="151">
        <f t="shared" si="85"/>
        <v>1</v>
      </c>
      <c r="P133" s="447">
        <v>63.25</v>
      </c>
    </row>
    <row r="134" spans="2:16" ht="15" customHeight="1" x14ac:dyDescent="0.25">
      <c r="B134" s="441" t="s">
        <v>526</v>
      </c>
      <c r="C134" s="404" t="s">
        <v>527</v>
      </c>
      <c r="D134" s="393"/>
      <c r="E134" s="394"/>
      <c r="F134" s="395"/>
      <c r="G134" s="306"/>
      <c r="I134" s="451"/>
      <c r="J134" s="447"/>
      <c r="L134" s="447"/>
      <c r="M134" s="447"/>
      <c r="O134" s="447"/>
      <c r="P134" s="447"/>
    </row>
    <row r="135" spans="2:16" ht="15" customHeight="1" x14ac:dyDescent="0.25">
      <c r="B135" s="443" t="s">
        <v>528</v>
      </c>
      <c r="C135" s="388" t="s">
        <v>529</v>
      </c>
      <c r="D135" s="380" t="s">
        <v>101</v>
      </c>
      <c r="E135" s="381">
        <v>228.04</v>
      </c>
      <c r="F135" s="382">
        <v>51.88</v>
      </c>
      <c r="G135" s="305">
        <f t="shared" ref="G135:G136" si="86">ROUND(E135*F135,2)</f>
        <v>11830.72</v>
      </c>
      <c r="I135" s="151">
        <f t="shared" ref="I135:I136" si="87">ROUND(J135/$G135,4)</f>
        <v>0</v>
      </c>
      <c r="J135" s="447"/>
      <c r="L135" s="151">
        <f t="shared" ref="L135:L136" si="88">ROUND(M135/$G135,4)</f>
        <v>0</v>
      </c>
      <c r="M135" s="447"/>
      <c r="O135" s="151">
        <f t="shared" ref="O135:O136" si="89">ROUND(P135/$G135,4)</f>
        <v>1</v>
      </c>
      <c r="P135" s="447">
        <v>11830.72</v>
      </c>
    </row>
    <row r="136" spans="2:16" ht="15" customHeight="1" x14ac:dyDescent="0.25">
      <c r="B136" s="443" t="s">
        <v>530</v>
      </c>
      <c r="C136" s="388" t="s">
        <v>531</v>
      </c>
      <c r="D136" s="380" t="s">
        <v>101</v>
      </c>
      <c r="E136" s="381">
        <v>228.04</v>
      </c>
      <c r="F136" s="382">
        <v>28.17</v>
      </c>
      <c r="G136" s="305">
        <f t="shared" si="86"/>
        <v>6423.89</v>
      </c>
      <c r="I136" s="151">
        <f t="shared" si="87"/>
        <v>0</v>
      </c>
      <c r="J136" s="447"/>
      <c r="L136" s="151">
        <f t="shared" si="88"/>
        <v>0</v>
      </c>
      <c r="M136" s="447"/>
      <c r="O136" s="151">
        <f t="shared" si="89"/>
        <v>1</v>
      </c>
      <c r="P136" s="447">
        <v>6423.89</v>
      </c>
    </row>
    <row r="137" spans="2:16" ht="15" customHeight="1" x14ac:dyDescent="0.25">
      <c r="B137" s="441" t="s">
        <v>532</v>
      </c>
      <c r="C137" s="386" t="s">
        <v>533</v>
      </c>
      <c r="D137" s="393"/>
      <c r="E137" s="394"/>
      <c r="F137" s="395"/>
      <c r="G137" s="306"/>
      <c r="I137" s="451"/>
      <c r="J137" s="447"/>
      <c r="L137" s="447"/>
      <c r="M137" s="447"/>
      <c r="O137" s="447"/>
      <c r="P137" s="447"/>
    </row>
    <row r="138" spans="2:16" ht="15" customHeight="1" x14ac:dyDescent="0.25">
      <c r="B138" s="443" t="s">
        <v>534</v>
      </c>
      <c r="C138" s="389" t="s">
        <v>535</v>
      </c>
      <c r="D138" s="380" t="s">
        <v>233</v>
      </c>
      <c r="E138" s="381">
        <v>40</v>
      </c>
      <c r="F138" s="382">
        <v>30.6</v>
      </c>
      <c r="G138" s="305">
        <f>ROUND(E138*F138,2)</f>
        <v>1224</v>
      </c>
      <c r="I138" s="151">
        <f>ROUND(J138/$G138,4)</f>
        <v>0</v>
      </c>
      <c r="J138" s="447"/>
      <c r="L138" s="151">
        <f>ROUND(M138/$G138,4)</f>
        <v>0</v>
      </c>
      <c r="M138" s="447"/>
      <c r="O138" s="151">
        <f>ROUND(P138/$G138,4)</f>
        <v>1</v>
      </c>
      <c r="P138" s="447">
        <v>1224</v>
      </c>
    </row>
    <row r="139" spans="2:16" ht="15" customHeight="1" x14ac:dyDescent="0.25">
      <c r="B139" s="441" t="s">
        <v>536</v>
      </c>
      <c r="C139" s="386" t="s">
        <v>109</v>
      </c>
      <c r="D139" s="393"/>
      <c r="E139" s="394"/>
      <c r="F139" s="395"/>
      <c r="G139" s="306"/>
      <c r="I139" s="451"/>
      <c r="J139" s="447"/>
      <c r="L139" s="447"/>
      <c r="M139" s="447"/>
      <c r="O139" s="447"/>
      <c r="P139" s="447"/>
    </row>
    <row r="140" spans="2:16" ht="15" customHeight="1" x14ac:dyDescent="0.25">
      <c r="B140" s="443" t="s">
        <v>537</v>
      </c>
      <c r="C140" s="388" t="s">
        <v>538</v>
      </c>
      <c r="D140" s="380" t="s">
        <v>233</v>
      </c>
      <c r="E140" s="381">
        <v>4</v>
      </c>
      <c r="F140" s="382">
        <v>2550</v>
      </c>
      <c r="G140" s="305">
        <f>ROUND(E140*F140,2)</f>
        <v>10200</v>
      </c>
      <c r="I140" s="151">
        <f>ROUND(J140/$G140,4)</f>
        <v>0</v>
      </c>
      <c r="J140" s="447"/>
      <c r="L140" s="151">
        <f>ROUND(M140/$G140,4)</f>
        <v>0</v>
      </c>
      <c r="M140" s="447"/>
      <c r="O140" s="151">
        <f>ROUND(P140/$G140,4)</f>
        <v>1</v>
      </c>
      <c r="P140" s="447">
        <v>10200</v>
      </c>
    </row>
    <row r="141" spans="2:16" ht="15" customHeight="1" x14ac:dyDescent="0.25">
      <c r="B141" s="441" t="s">
        <v>539</v>
      </c>
      <c r="C141" s="386" t="s">
        <v>540</v>
      </c>
      <c r="D141" s="393"/>
      <c r="E141" s="394"/>
      <c r="F141" s="395"/>
      <c r="G141" s="306"/>
      <c r="I141" s="451"/>
      <c r="J141" s="447"/>
      <c r="L141" s="447"/>
      <c r="M141" s="447"/>
      <c r="O141" s="447"/>
      <c r="P141" s="447"/>
    </row>
    <row r="142" spans="2:16" ht="15" customHeight="1" x14ac:dyDescent="0.25">
      <c r="B142" s="443" t="s">
        <v>541</v>
      </c>
      <c r="C142" s="389" t="s">
        <v>542</v>
      </c>
      <c r="D142" s="380" t="s">
        <v>5</v>
      </c>
      <c r="E142" s="381">
        <v>1</v>
      </c>
      <c r="F142" s="382">
        <v>5500</v>
      </c>
      <c r="G142" s="305">
        <f t="shared" ref="G142:G146" si="90">ROUND(E142*F142,2)</f>
        <v>5500</v>
      </c>
      <c r="I142" s="151">
        <f t="shared" ref="I142:I146" si="91">ROUND(J142/$G142,4)</f>
        <v>1</v>
      </c>
      <c r="J142" s="447">
        <v>5500</v>
      </c>
      <c r="L142" s="151">
        <f t="shared" ref="L142:L146" si="92">ROUND(M142/$G142,4)</f>
        <v>0</v>
      </c>
      <c r="M142" s="447"/>
      <c r="O142" s="151">
        <f t="shared" ref="O142:O146" si="93">ROUND(P142/$G142,4)</f>
        <v>0</v>
      </c>
      <c r="P142" s="447"/>
    </row>
    <row r="143" spans="2:16" ht="15" customHeight="1" x14ac:dyDescent="0.25">
      <c r="B143" s="443" t="s">
        <v>543</v>
      </c>
      <c r="C143" s="388" t="s">
        <v>544</v>
      </c>
      <c r="D143" s="380" t="s">
        <v>5</v>
      </c>
      <c r="E143" s="381">
        <v>1</v>
      </c>
      <c r="F143" s="382">
        <v>4706.1000000000004</v>
      </c>
      <c r="G143" s="305">
        <f t="shared" si="90"/>
        <v>4706.1000000000004</v>
      </c>
      <c r="I143" s="151">
        <f t="shared" si="91"/>
        <v>1</v>
      </c>
      <c r="J143" s="447">
        <v>4706.1000000000004</v>
      </c>
      <c r="L143" s="151">
        <f t="shared" si="92"/>
        <v>0</v>
      </c>
      <c r="M143" s="447"/>
      <c r="O143" s="151">
        <f t="shared" si="93"/>
        <v>0</v>
      </c>
      <c r="P143" s="447"/>
    </row>
    <row r="144" spans="2:16" ht="15" customHeight="1" x14ac:dyDescent="0.25">
      <c r="B144" s="443" t="s">
        <v>545</v>
      </c>
      <c r="C144" s="388" t="s">
        <v>546</v>
      </c>
      <c r="D144" s="380" t="s">
        <v>5</v>
      </c>
      <c r="E144" s="381">
        <v>1</v>
      </c>
      <c r="F144" s="382">
        <v>1534.46</v>
      </c>
      <c r="G144" s="305">
        <f t="shared" si="90"/>
        <v>1534.46</v>
      </c>
      <c r="I144" s="151">
        <f t="shared" si="91"/>
        <v>1</v>
      </c>
      <c r="J144" s="447">
        <v>1534.46</v>
      </c>
      <c r="L144" s="151">
        <f t="shared" si="92"/>
        <v>0</v>
      </c>
      <c r="M144" s="447"/>
      <c r="O144" s="151">
        <f t="shared" si="93"/>
        <v>0</v>
      </c>
      <c r="P144" s="447"/>
    </row>
    <row r="145" spans="2:16" ht="15" customHeight="1" x14ac:dyDescent="0.25">
      <c r="B145" s="443" t="s">
        <v>547</v>
      </c>
      <c r="C145" s="388" t="s">
        <v>548</v>
      </c>
      <c r="D145" s="380" t="s">
        <v>5</v>
      </c>
      <c r="E145" s="381">
        <v>1</v>
      </c>
      <c r="F145" s="382">
        <v>2800</v>
      </c>
      <c r="G145" s="305">
        <f t="shared" si="90"/>
        <v>2800</v>
      </c>
      <c r="I145" s="151">
        <f t="shared" si="91"/>
        <v>1</v>
      </c>
      <c r="J145" s="447">
        <v>2800</v>
      </c>
      <c r="L145" s="151">
        <f t="shared" si="92"/>
        <v>0</v>
      </c>
      <c r="M145" s="447"/>
      <c r="O145" s="151">
        <f t="shared" si="93"/>
        <v>0</v>
      </c>
      <c r="P145" s="447"/>
    </row>
    <row r="146" spans="2:16" ht="15" customHeight="1" x14ac:dyDescent="0.25">
      <c r="B146" s="443" t="s">
        <v>549</v>
      </c>
      <c r="C146" s="389" t="s">
        <v>550</v>
      </c>
      <c r="D146" s="380" t="s">
        <v>5</v>
      </c>
      <c r="E146" s="381">
        <v>1</v>
      </c>
      <c r="F146" s="382">
        <v>3800</v>
      </c>
      <c r="G146" s="305">
        <f t="shared" si="90"/>
        <v>3800</v>
      </c>
      <c r="I146" s="151">
        <f t="shared" si="91"/>
        <v>1</v>
      </c>
      <c r="J146" s="447">
        <v>3800</v>
      </c>
      <c r="L146" s="151">
        <f t="shared" si="92"/>
        <v>0</v>
      </c>
      <c r="M146" s="447"/>
      <c r="O146" s="151">
        <f t="shared" si="93"/>
        <v>0</v>
      </c>
      <c r="P146" s="447"/>
    </row>
    <row r="147" spans="2:16" ht="15" customHeight="1" x14ac:dyDescent="0.25">
      <c r="B147" s="441" t="s">
        <v>551</v>
      </c>
      <c r="C147" s="386" t="s">
        <v>552</v>
      </c>
      <c r="D147" s="393"/>
      <c r="E147" s="394"/>
      <c r="F147" s="395"/>
      <c r="G147" s="306"/>
      <c r="I147" s="451"/>
      <c r="J147" s="447"/>
      <c r="L147" s="447"/>
      <c r="M147" s="447"/>
      <c r="O147" s="447"/>
      <c r="P147" s="447"/>
    </row>
    <row r="148" spans="2:16" ht="15" customHeight="1" x14ac:dyDescent="0.25">
      <c r="B148" s="443" t="s">
        <v>553</v>
      </c>
      <c r="C148" s="388" t="s">
        <v>554</v>
      </c>
      <c r="D148" s="380" t="s">
        <v>5</v>
      </c>
      <c r="E148" s="381">
        <v>1</v>
      </c>
      <c r="F148" s="382">
        <f>2500+3523</f>
        <v>6023</v>
      </c>
      <c r="G148" s="305">
        <f>ROUND(E148*F148,2)</f>
        <v>6023</v>
      </c>
      <c r="I148" s="151">
        <f>ROUND(J148/$G148,4)</f>
        <v>0.18329999999999999</v>
      </c>
      <c r="J148" s="447">
        <v>1104.2166666666667</v>
      </c>
      <c r="L148" s="151">
        <f>ROUND(M148/$G148,4)</f>
        <v>0.51670000000000005</v>
      </c>
      <c r="M148" s="447">
        <v>3111.8833333333337</v>
      </c>
      <c r="O148" s="151">
        <f>ROUND(P148/$G148,4)</f>
        <v>0.3</v>
      </c>
      <c r="P148" s="447">
        <v>1806.8999999999999</v>
      </c>
    </row>
    <row r="149" spans="2:16" ht="15" customHeight="1" x14ac:dyDescent="0.25">
      <c r="B149" s="441" t="s">
        <v>555</v>
      </c>
      <c r="C149" s="404" t="s">
        <v>556</v>
      </c>
      <c r="D149" s="393"/>
      <c r="E149" s="394"/>
      <c r="F149" s="395"/>
      <c r="G149" s="306"/>
      <c r="I149" s="451"/>
      <c r="J149" s="447"/>
      <c r="L149" s="447"/>
      <c r="M149" s="447"/>
      <c r="O149" s="447"/>
      <c r="P149" s="447"/>
    </row>
    <row r="150" spans="2:16" ht="15" customHeight="1" x14ac:dyDescent="0.25">
      <c r="B150" s="443" t="s">
        <v>557</v>
      </c>
      <c r="C150" s="388" t="s">
        <v>558</v>
      </c>
      <c r="D150" s="380" t="s">
        <v>5</v>
      </c>
      <c r="E150" s="381">
        <v>1</v>
      </c>
      <c r="F150" s="382">
        <v>5620</v>
      </c>
      <c r="G150" s="305">
        <f t="shared" ref="G150:G155" si="94">ROUND(E150*F150,2)</f>
        <v>5620</v>
      </c>
      <c r="I150" s="151">
        <f t="shared" ref="I150:I155" si="95">ROUND(J150/$G150,4)</f>
        <v>1</v>
      </c>
      <c r="J150" s="447">
        <v>5620</v>
      </c>
      <c r="L150" s="151">
        <f t="shared" ref="L150:L155" si="96">ROUND(M150/$G150,4)</f>
        <v>0</v>
      </c>
      <c r="M150" s="447"/>
      <c r="O150" s="151">
        <f t="shared" ref="O150:O155" si="97">ROUND(P150/$G150,4)</f>
        <v>0</v>
      </c>
      <c r="P150" s="447"/>
    </row>
    <row r="151" spans="2:16" ht="15" customHeight="1" x14ac:dyDescent="0.25">
      <c r="B151" s="443" t="s">
        <v>559</v>
      </c>
      <c r="C151" s="408" t="s">
        <v>560</v>
      </c>
      <c r="D151" s="380" t="s">
        <v>5</v>
      </c>
      <c r="E151" s="381">
        <v>1</v>
      </c>
      <c r="F151" s="382">
        <v>3420</v>
      </c>
      <c r="G151" s="305">
        <f t="shared" si="94"/>
        <v>3420</v>
      </c>
      <c r="I151" s="151">
        <f t="shared" si="95"/>
        <v>1</v>
      </c>
      <c r="J151" s="447">
        <v>3420</v>
      </c>
      <c r="L151" s="151">
        <f t="shared" si="96"/>
        <v>0</v>
      </c>
      <c r="M151" s="447"/>
      <c r="O151" s="151">
        <f t="shared" si="97"/>
        <v>0</v>
      </c>
      <c r="P151" s="447"/>
    </row>
    <row r="152" spans="2:16" ht="15" customHeight="1" x14ac:dyDescent="0.25">
      <c r="B152" s="443" t="s">
        <v>561</v>
      </c>
      <c r="C152" s="388" t="s">
        <v>562</v>
      </c>
      <c r="D152" s="380" t="s">
        <v>563</v>
      </c>
      <c r="E152" s="381">
        <v>1</v>
      </c>
      <c r="F152" s="382">
        <v>3600</v>
      </c>
      <c r="G152" s="305">
        <f t="shared" si="94"/>
        <v>3600</v>
      </c>
      <c r="I152" s="151">
        <f t="shared" si="95"/>
        <v>1</v>
      </c>
      <c r="J152" s="447">
        <v>3600</v>
      </c>
      <c r="L152" s="151">
        <f t="shared" si="96"/>
        <v>0</v>
      </c>
      <c r="M152" s="447"/>
      <c r="O152" s="151">
        <f t="shared" si="97"/>
        <v>0</v>
      </c>
      <c r="P152" s="447"/>
    </row>
    <row r="153" spans="2:16" ht="15" customHeight="1" x14ac:dyDescent="0.25">
      <c r="B153" s="443" t="s">
        <v>564</v>
      </c>
      <c r="C153" s="388" t="s">
        <v>565</v>
      </c>
      <c r="D153" s="380" t="s">
        <v>563</v>
      </c>
      <c r="E153" s="381">
        <v>1</v>
      </c>
      <c r="F153" s="382">
        <v>1550</v>
      </c>
      <c r="G153" s="305">
        <f t="shared" si="94"/>
        <v>1550</v>
      </c>
      <c r="I153" s="151">
        <f t="shared" si="95"/>
        <v>1</v>
      </c>
      <c r="J153" s="447">
        <v>1550</v>
      </c>
      <c r="L153" s="151">
        <f t="shared" si="96"/>
        <v>0</v>
      </c>
      <c r="M153" s="447"/>
      <c r="O153" s="151">
        <f t="shared" si="97"/>
        <v>0</v>
      </c>
      <c r="P153" s="447"/>
    </row>
    <row r="154" spans="2:16" ht="15" customHeight="1" x14ac:dyDescent="0.25">
      <c r="B154" s="443" t="s">
        <v>566</v>
      </c>
      <c r="C154" s="388" t="s">
        <v>567</v>
      </c>
      <c r="D154" s="380" t="s">
        <v>101</v>
      </c>
      <c r="E154" s="381">
        <v>1932.21</v>
      </c>
      <c r="F154" s="382">
        <v>1.2</v>
      </c>
      <c r="G154" s="305">
        <f t="shared" si="94"/>
        <v>2318.65</v>
      </c>
      <c r="I154" s="151">
        <f t="shared" si="95"/>
        <v>0.35510000000000003</v>
      </c>
      <c r="J154" s="447">
        <v>823.41</v>
      </c>
      <c r="L154" s="151">
        <f t="shared" si="96"/>
        <v>0.64490000000000003</v>
      </c>
      <c r="M154" s="447">
        <v>1495.24</v>
      </c>
      <c r="O154" s="151">
        <f t="shared" si="97"/>
        <v>0</v>
      </c>
      <c r="P154" s="447"/>
    </row>
    <row r="155" spans="2:16" ht="15" customHeight="1" x14ac:dyDescent="0.25">
      <c r="B155" s="445" t="s">
        <v>568</v>
      </c>
      <c r="C155" s="409" t="s">
        <v>569</v>
      </c>
      <c r="D155" s="410" t="s">
        <v>101</v>
      </c>
      <c r="E155" s="411">
        <v>1932.21</v>
      </c>
      <c r="F155" s="412">
        <v>1.1200000000000001</v>
      </c>
      <c r="G155" s="308">
        <f t="shared" si="94"/>
        <v>2164.08</v>
      </c>
      <c r="I155" s="455">
        <f t="shared" si="95"/>
        <v>0</v>
      </c>
      <c r="J155" s="449"/>
      <c r="L155" s="455">
        <f t="shared" si="96"/>
        <v>0</v>
      </c>
      <c r="M155" s="449"/>
      <c r="O155" s="455">
        <f t="shared" si="97"/>
        <v>1</v>
      </c>
      <c r="P155" s="449">
        <v>2164.08</v>
      </c>
    </row>
    <row r="156" spans="2:16" ht="15" customHeight="1" x14ac:dyDescent="0.25">
      <c r="B156" s="236" t="s">
        <v>4</v>
      </c>
      <c r="C156" s="236"/>
      <c r="D156" s="313"/>
      <c r="E156" s="314"/>
      <c r="F156" s="228"/>
      <c r="G156" s="315">
        <f>ROUND(SUM(G12:G155),2)</f>
        <v>462717.27</v>
      </c>
      <c r="I156" s="516">
        <f>+J162</f>
        <v>0.24660000000000001</v>
      </c>
      <c r="J156" s="315">
        <f>ROUND(SUM(J12:J155),2)</f>
        <v>114117.28</v>
      </c>
      <c r="L156" s="516">
        <f>+M162</f>
        <v>0.31840000000000002</v>
      </c>
      <c r="M156" s="315">
        <f>ROUND(SUM(M12:M155),2)</f>
        <v>147324.87</v>
      </c>
      <c r="N156" s="464"/>
      <c r="O156" s="516">
        <f>+P162</f>
        <v>0.435</v>
      </c>
      <c r="P156" s="315">
        <f>ROUND(SUM(P12:P155),2)</f>
        <v>201275.12</v>
      </c>
    </row>
    <row r="157" spans="2:16" ht="15" customHeight="1" x14ac:dyDescent="0.25">
      <c r="B157" s="103" t="s">
        <v>98</v>
      </c>
      <c r="D157" s="317">
        <v>0.1</v>
      </c>
      <c r="E157" s="132"/>
      <c r="F157" s="128"/>
      <c r="G157" s="318">
        <f>ROUND($D157*G$156,2)</f>
        <v>46271.73</v>
      </c>
      <c r="I157" s="517"/>
      <c r="J157" s="318">
        <f>ROUND($D157*J$156,2)</f>
        <v>11411.73</v>
      </c>
      <c r="L157" s="517"/>
      <c r="M157" s="318">
        <f>ROUND($D157*M$156,2)</f>
        <v>14732.49</v>
      </c>
      <c r="N157" s="463"/>
      <c r="O157" s="517"/>
      <c r="P157" s="318">
        <f>ROUND($D157*P$156,2)</f>
        <v>20127.509999999998</v>
      </c>
    </row>
    <row r="158" spans="2:16" ht="15" customHeight="1" x14ac:dyDescent="0.25">
      <c r="B158" s="103" t="s">
        <v>99</v>
      </c>
      <c r="D158" s="320">
        <v>7.0000000000000007E-2</v>
      </c>
      <c r="E158" s="132"/>
      <c r="F158" s="128"/>
      <c r="G158" s="318">
        <f>ROUND($D158*G$156,2)</f>
        <v>32390.21</v>
      </c>
      <c r="I158" s="517"/>
      <c r="J158" s="318">
        <f>ROUND($D158*J$156,2)</f>
        <v>7988.21</v>
      </c>
      <c r="L158" s="517"/>
      <c r="M158" s="318">
        <f>ROUND($D158*M$156,2)</f>
        <v>10312.74</v>
      </c>
      <c r="N158" s="463"/>
      <c r="O158" s="517"/>
      <c r="P158" s="318">
        <f>ROUND($D158*P$156,2)</f>
        <v>14089.26</v>
      </c>
    </row>
    <row r="159" spans="2:16" ht="15" customHeight="1" x14ac:dyDescent="0.25">
      <c r="B159" s="236" t="s">
        <v>33</v>
      </c>
      <c r="C159" s="236"/>
      <c r="D159" s="154"/>
      <c r="E159" s="314"/>
      <c r="F159" s="228"/>
      <c r="G159" s="321">
        <f>ROUND(G156+G157+G158,2)</f>
        <v>541379.21</v>
      </c>
      <c r="I159" s="517"/>
      <c r="J159" s="321">
        <f>ROUND(J156+J157+J158,2)</f>
        <v>133517.22</v>
      </c>
      <c r="L159" s="517"/>
      <c r="M159" s="321">
        <f>ROUND(M156+M157+M158,2)</f>
        <v>172370.1</v>
      </c>
      <c r="N159" s="464"/>
      <c r="O159" s="517"/>
      <c r="P159" s="321">
        <f>ROUND(P156+P157+P158,2)</f>
        <v>235491.89</v>
      </c>
    </row>
    <row r="160" spans="2:16" ht="15" customHeight="1" x14ac:dyDescent="0.25">
      <c r="B160" s="103" t="s">
        <v>95</v>
      </c>
      <c r="D160" s="317">
        <v>0.18</v>
      </c>
      <c r="E160" s="132"/>
      <c r="F160" s="128"/>
      <c r="G160" s="318">
        <f>ROUND($D160*G$159,2)</f>
        <v>97448.26</v>
      </c>
      <c r="I160" s="517"/>
      <c r="J160" s="318">
        <f>ROUND($D160*J$159,2)</f>
        <v>24033.1</v>
      </c>
      <c r="L160" s="517"/>
      <c r="M160" s="318">
        <f>ROUND($D160*M$159,2)</f>
        <v>31026.62</v>
      </c>
      <c r="N160" s="463"/>
      <c r="O160" s="517"/>
      <c r="P160" s="318">
        <f>ROUND($D160*P$159,2)</f>
        <v>42388.54</v>
      </c>
    </row>
    <row r="161" spans="2:16" ht="15" customHeight="1" x14ac:dyDescent="0.25">
      <c r="B161" s="236" t="s">
        <v>205</v>
      </c>
      <c r="C161" s="236"/>
      <c r="D161" s="313"/>
      <c r="E161" s="314"/>
      <c r="F161" s="228"/>
      <c r="G161" s="321">
        <f>ROUND(G159+G160,2)</f>
        <v>638827.47</v>
      </c>
      <c r="I161" s="517"/>
      <c r="J161" s="321">
        <f>ROUND(J159+J160,2)</f>
        <v>157550.32</v>
      </c>
      <c r="L161" s="517"/>
      <c r="M161" s="321">
        <f>ROUND(M159+M160,2)</f>
        <v>203396.72</v>
      </c>
      <c r="N161" s="464"/>
      <c r="O161" s="517"/>
      <c r="P161" s="321">
        <f>ROUND(P159+P160,2)</f>
        <v>277880.43</v>
      </c>
    </row>
    <row r="162" spans="2:16" ht="15" customHeight="1" x14ac:dyDescent="0.25">
      <c r="B162" s="103" t="s">
        <v>579</v>
      </c>
      <c r="E162" s="132"/>
      <c r="F162" s="128"/>
      <c r="G162" s="323">
        <f>ROUND(G156/$G156,4)</f>
        <v>1</v>
      </c>
      <c r="I162" s="517"/>
      <c r="J162" s="323">
        <f>ROUND(J156/$G156,4)</f>
        <v>0.24660000000000001</v>
      </c>
      <c r="L162" s="517"/>
      <c r="M162" s="323">
        <f>ROUND(M156/$G156,4)</f>
        <v>0.31840000000000002</v>
      </c>
      <c r="N162" s="133"/>
      <c r="O162" s="517"/>
      <c r="P162" s="323">
        <f>ROUND(P156/$G156,4)</f>
        <v>0.435</v>
      </c>
    </row>
    <row r="163" spans="2:16" ht="15" customHeight="1" x14ac:dyDescent="0.25">
      <c r="B163" s="103" t="s">
        <v>580</v>
      </c>
      <c r="G163" s="323">
        <f>ROUND(G157/$G157,4)</f>
        <v>1</v>
      </c>
      <c r="I163" s="517"/>
      <c r="J163" s="323">
        <f>ROUND(J157/$G157,4)</f>
        <v>0.24660000000000001</v>
      </c>
      <c r="L163" s="517"/>
      <c r="M163" s="323">
        <f>+J163+M162</f>
        <v>0.56500000000000006</v>
      </c>
      <c r="O163" s="517"/>
      <c r="P163" s="323">
        <f>+M163+P162</f>
        <v>1</v>
      </c>
    </row>
  </sheetData>
  <mergeCells count="11">
    <mergeCell ref="O9:P9"/>
    <mergeCell ref="I156:I163"/>
    <mergeCell ref="L156:L163"/>
    <mergeCell ref="O156:O163"/>
    <mergeCell ref="C2:M2"/>
    <mergeCell ref="B9:B11"/>
    <mergeCell ref="C9:C11"/>
    <mergeCell ref="D9:G10"/>
    <mergeCell ref="I9:J9"/>
    <mergeCell ref="L9:M9"/>
    <mergeCell ref="B1:P1"/>
  </mergeCells>
  <phoneticPr fontId="12" type="noConversion"/>
  <printOptions horizontalCentered="1"/>
  <pageMargins left="0.59055118110236227" right="0.59055118110236227" top="0.78740157480314965" bottom="0.59055118110236227" header="0" footer="0"/>
  <pageSetup paperSize="9" scale="5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BA33-E13E-42F3-8B71-03FC296E51BE}">
  <sheetPr>
    <tabColor rgb="FFFF0000"/>
    <pageSetUpPr fitToPage="1"/>
  </sheetPr>
  <dimension ref="B1:V154"/>
  <sheetViews>
    <sheetView showGridLines="0" showZeros="0" view="pageBreakPreview" zoomScale="90" zoomScaleNormal="100" zoomScaleSheetLayoutView="90" workbookViewId="0">
      <pane xSplit="1" ySplit="10" topLeftCell="B143" activePane="bottomRight" state="frozen"/>
      <selection pane="topRight" activeCell="B1" sqref="B1"/>
      <selection pane="bottomLeft" activeCell="A10" sqref="A10"/>
      <selection pane="bottomRight" activeCell="I9" sqref="I9:I10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0.6640625" style="103" customWidth="1"/>
    <col min="3" max="3" width="60.6640625" style="103" customWidth="1"/>
    <col min="4" max="4" width="9.109375" style="122" bestFit="1" customWidth="1"/>
    <col min="5" max="5" width="12.6640625" style="123" customWidth="1"/>
    <col min="6" max="6" width="0.88671875" style="119" customWidth="1"/>
    <col min="7" max="7" width="12.6640625" style="119" customWidth="1"/>
    <col min="8" max="8" width="0.88671875" style="103" customWidth="1"/>
    <col min="9" max="9" width="12.6640625" style="103" customWidth="1"/>
    <col min="10" max="10" width="0.88671875" style="103" hidden="1" customWidth="1"/>
    <col min="11" max="11" width="12.6640625" style="103" hidden="1" customWidth="1"/>
    <col min="12" max="12" width="0.88671875" style="103" customWidth="1"/>
    <col min="13" max="13" width="12.6640625" style="103" customWidth="1"/>
    <col min="14" max="14" width="0.88671875" style="103" customWidth="1"/>
    <col min="15" max="15" width="12.6640625" style="103" customWidth="1"/>
    <col min="16" max="16" width="1.6640625" style="103" customWidth="1"/>
    <col min="17" max="17" width="11" style="103" bestFit="1" customWidth="1"/>
    <col min="18" max="18" width="13.6640625" style="103" bestFit="1" customWidth="1"/>
    <col min="19" max="19" width="11.33203125" style="104" bestFit="1" customWidth="1"/>
    <col min="20" max="20" width="10.33203125" style="103"/>
    <col min="21" max="21" width="10.109375" style="103" bestFit="1" customWidth="1"/>
    <col min="22" max="16384" width="10.33203125" style="103"/>
  </cols>
  <sheetData>
    <row r="1" spans="2:22" s="105" customFormat="1" ht="30" customHeight="1" thickBot="1" x14ac:dyDescent="0.3">
      <c r="B1" s="617" t="s">
        <v>605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9"/>
      <c r="P1" s="103"/>
      <c r="Q1" s="103"/>
      <c r="R1" s="103"/>
      <c r="S1" s="104"/>
      <c r="T1" s="103"/>
      <c r="U1" s="103"/>
      <c r="V1" s="103"/>
    </row>
    <row r="2" spans="2:22" s="105" customFormat="1" ht="30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</row>
    <row r="3" spans="2:22" s="105" customFormat="1" ht="15" customHeight="1" x14ac:dyDescent="0.25">
      <c r="B3" s="236" t="s">
        <v>587</v>
      </c>
      <c r="C3" s="106" t="str">
        <f>+FT!$E$4</f>
        <v>MUNICIPALIDAD DISTRITAL DE PILLCO MARCA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2:22" s="10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2:22" s="105" customFormat="1" ht="15" customHeight="1" x14ac:dyDescent="0.25">
      <c r="B5" s="236" t="s">
        <v>630</v>
      </c>
      <c r="C5" s="103" t="str">
        <f>+FT!$E$34</f>
        <v>PROYECTA PCL S.A.C</v>
      </c>
      <c r="D5" s="104" t="s">
        <v>212</v>
      </c>
      <c r="E5" s="103"/>
      <c r="F5" s="103"/>
      <c r="G5" s="251">
        <f>+FT!$E$24</f>
        <v>638827.47</v>
      </c>
      <c r="H5" s="103"/>
      <c r="I5" s="103"/>
      <c r="J5" s="103"/>
      <c r="K5" s="103"/>
      <c r="L5" s="103"/>
      <c r="M5" s="103"/>
      <c r="N5" s="103"/>
      <c r="O5" s="103"/>
    </row>
    <row r="6" spans="2:22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4" t="s">
        <v>215</v>
      </c>
      <c r="E6" s="103"/>
      <c r="F6" s="103"/>
      <c r="G6" s="251">
        <f>+FT!$E$25</f>
        <v>638827.47</v>
      </c>
      <c r="H6" s="103"/>
      <c r="I6" s="251"/>
      <c r="J6" s="103"/>
      <c r="K6" s="103"/>
      <c r="L6" s="103"/>
      <c r="M6" s="103"/>
      <c r="N6" s="103"/>
      <c r="O6" s="103"/>
    </row>
    <row r="7" spans="2:22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3" t="s">
        <v>214</v>
      </c>
      <c r="E7" s="103"/>
      <c r="G7" s="103" t="str">
        <f>+FT!$E$31</f>
        <v>SESENTA (60) DÍAS CALENDARIOS</v>
      </c>
      <c r="H7" s="103"/>
      <c r="I7" s="251"/>
      <c r="J7" s="103"/>
      <c r="K7" s="103"/>
      <c r="L7" s="103"/>
      <c r="M7" s="103"/>
      <c r="N7" s="103"/>
      <c r="O7" s="103"/>
    </row>
    <row r="8" spans="2:22" ht="7.5" customHeight="1" thickBot="1" x14ac:dyDescent="0.3">
      <c r="E8" s="103"/>
      <c r="F8" s="103"/>
      <c r="G8" s="103"/>
    </row>
    <row r="9" spans="2:22" s="236" customFormat="1" ht="30" customHeight="1" thickTop="1" thickBot="1" x14ac:dyDescent="0.3">
      <c r="B9" s="643" t="s">
        <v>10</v>
      </c>
      <c r="C9" s="644" t="s">
        <v>16</v>
      </c>
      <c r="D9" s="644" t="s">
        <v>188</v>
      </c>
      <c r="E9" s="645"/>
      <c r="F9" s="628"/>
      <c r="G9" s="661">
        <v>46174</v>
      </c>
      <c r="H9" s="628"/>
      <c r="I9" s="641">
        <v>46204</v>
      </c>
      <c r="J9" s="628"/>
      <c r="K9" s="639">
        <v>46143</v>
      </c>
      <c r="L9" s="628"/>
      <c r="M9" s="663" t="s">
        <v>207</v>
      </c>
      <c r="N9" s="628"/>
      <c r="O9" s="663" t="s">
        <v>223</v>
      </c>
      <c r="S9" s="154"/>
    </row>
    <row r="10" spans="2:22" s="107" customFormat="1" ht="15" customHeight="1" thickTop="1" thickBot="1" x14ac:dyDescent="0.3">
      <c r="B10" s="649"/>
      <c r="C10" s="650"/>
      <c r="D10" s="651" t="s">
        <v>50</v>
      </c>
      <c r="E10" s="660" t="s">
        <v>1</v>
      </c>
      <c r="F10" s="635"/>
      <c r="G10" s="662" t="s">
        <v>1</v>
      </c>
      <c r="H10" s="635"/>
      <c r="I10" s="642" t="s">
        <v>1</v>
      </c>
      <c r="J10" s="635"/>
      <c r="K10" s="640" t="s">
        <v>1</v>
      </c>
      <c r="L10" s="635"/>
      <c r="M10" s="664"/>
      <c r="N10" s="635"/>
      <c r="O10" s="664"/>
      <c r="Q10" s="108"/>
      <c r="R10" s="109"/>
      <c r="S10" s="108"/>
      <c r="T10" s="108"/>
    </row>
    <row r="11" spans="2:22" s="137" customFormat="1" ht="15" customHeight="1" x14ac:dyDescent="0.25">
      <c r="B11" s="465" t="s">
        <v>6</v>
      </c>
      <c r="C11" s="466" t="s">
        <v>313</v>
      </c>
      <c r="D11" s="467"/>
      <c r="E11" s="468"/>
      <c r="F11" s="99"/>
      <c r="G11" s="342"/>
      <c r="H11" s="99"/>
      <c r="I11" s="342"/>
      <c r="J11" s="99"/>
      <c r="K11" s="343"/>
      <c r="L11" s="99"/>
      <c r="M11" s="342"/>
      <c r="N11" s="99"/>
      <c r="O11" s="342"/>
      <c r="Q11" s="135"/>
      <c r="R11" s="136"/>
      <c r="S11" s="135"/>
      <c r="T11" s="135"/>
    </row>
    <row r="12" spans="2:22" s="137" customFormat="1" ht="15" customHeight="1" x14ac:dyDescent="0.25">
      <c r="B12" s="436" t="s">
        <v>171</v>
      </c>
      <c r="C12" s="415" t="s">
        <v>314</v>
      </c>
      <c r="D12" s="413"/>
      <c r="E12" s="414"/>
      <c r="F12" s="328"/>
      <c r="G12" s="327"/>
      <c r="H12" s="328"/>
      <c r="I12" s="327"/>
      <c r="J12" s="328"/>
      <c r="K12" s="327"/>
      <c r="L12" s="328"/>
      <c r="M12" s="327">
        <f>+G12+I12+K12</f>
        <v>0</v>
      </c>
      <c r="N12" s="328"/>
      <c r="O12" s="327">
        <f>+E12-M12</f>
        <v>0</v>
      </c>
      <c r="Q12" s="135"/>
      <c r="R12" s="136"/>
      <c r="S12" s="135"/>
      <c r="T12" s="135"/>
    </row>
    <row r="13" spans="2:22" s="137" customFormat="1" ht="15" customHeight="1" x14ac:dyDescent="0.25">
      <c r="B13" s="437" t="s">
        <v>315</v>
      </c>
      <c r="C13" s="416" t="s">
        <v>224</v>
      </c>
      <c r="D13" s="413"/>
      <c r="E13" s="414"/>
      <c r="F13" s="328"/>
      <c r="G13" s="344"/>
      <c r="H13" s="328"/>
      <c r="I13" s="344"/>
      <c r="J13" s="328"/>
      <c r="K13" s="344"/>
      <c r="L13" s="328"/>
      <c r="M13" s="344"/>
      <c r="N13" s="328"/>
      <c r="O13" s="344"/>
      <c r="Q13" s="135"/>
      <c r="R13" s="136"/>
      <c r="S13" s="135"/>
      <c r="T13" s="135"/>
    </row>
    <row r="14" spans="2:22" s="137" customFormat="1" ht="15" customHeight="1" x14ac:dyDescent="0.25">
      <c r="B14" s="438" t="s">
        <v>316</v>
      </c>
      <c r="C14" s="417" t="s">
        <v>317</v>
      </c>
      <c r="D14" s="413" t="s">
        <v>318</v>
      </c>
      <c r="E14" s="414">
        <v>2</v>
      </c>
      <c r="F14" s="328"/>
      <c r="G14" s="344">
        <v>1</v>
      </c>
      <c r="H14" s="328"/>
      <c r="I14" s="344">
        <v>0.48</v>
      </c>
      <c r="J14" s="328"/>
      <c r="K14" s="344"/>
      <c r="L14" s="328"/>
      <c r="M14" s="327">
        <f>+G14+I14+K14</f>
        <v>1.48</v>
      </c>
      <c r="N14" s="328"/>
      <c r="O14" s="327">
        <f>+E14-M14</f>
        <v>0.52</v>
      </c>
      <c r="Q14" s="135"/>
      <c r="R14" s="136"/>
      <c r="S14" s="135"/>
      <c r="T14" s="135"/>
    </row>
    <row r="15" spans="2:22" s="137" customFormat="1" ht="15" customHeight="1" x14ac:dyDescent="0.25">
      <c r="B15" s="438" t="s">
        <v>319</v>
      </c>
      <c r="C15" s="418" t="s">
        <v>320</v>
      </c>
      <c r="D15" s="413" t="s">
        <v>233</v>
      </c>
      <c r="E15" s="414">
        <v>1</v>
      </c>
      <c r="F15" s="328"/>
      <c r="G15" s="344">
        <v>1</v>
      </c>
      <c r="H15" s="328"/>
      <c r="I15" s="344"/>
      <c r="J15" s="328"/>
      <c r="K15" s="344"/>
      <c r="L15" s="328"/>
      <c r="M15" s="327">
        <f t="shared" ref="M15:M16" si="0">+G15+I15+K15</f>
        <v>1</v>
      </c>
      <c r="N15" s="328"/>
      <c r="O15" s="327">
        <f t="shared" ref="O15:O16" si="1">+E15-M15</f>
        <v>0</v>
      </c>
      <c r="Q15" s="135"/>
      <c r="R15" s="136"/>
      <c r="S15" s="135"/>
      <c r="T15" s="135"/>
    </row>
    <row r="16" spans="2:22" s="137" customFormat="1" ht="15" customHeight="1" x14ac:dyDescent="0.25">
      <c r="B16" s="438" t="s">
        <v>321</v>
      </c>
      <c r="C16" s="417" t="s">
        <v>322</v>
      </c>
      <c r="D16" s="413" t="s">
        <v>318</v>
      </c>
      <c r="E16" s="414">
        <v>2</v>
      </c>
      <c r="F16" s="328"/>
      <c r="G16" s="344">
        <v>1</v>
      </c>
      <c r="H16" s="328"/>
      <c r="I16" s="344">
        <v>0.48</v>
      </c>
      <c r="J16" s="328"/>
      <c r="K16" s="344"/>
      <c r="L16" s="328"/>
      <c r="M16" s="327">
        <f t="shared" si="0"/>
        <v>1.48</v>
      </c>
      <c r="N16" s="328"/>
      <c r="O16" s="327">
        <f t="shared" si="1"/>
        <v>0.52</v>
      </c>
      <c r="Q16" s="135"/>
      <c r="R16" s="136"/>
      <c r="S16" s="135"/>
      <c r="T16" s="135"/>
    </row>
    <row r="17" spans="2:20" s="137" customFormat="1" ht="15" customHeight="1" x14ac:dyDescent="0.25">
      <c r="B17" s="437" t="s">
        <v>323</v>
      </c>
      <c r="C17" s="416" t="s">
        <v>225</v>
      </c>
      <c r="D17" s="419"/>
      <c r="E17" s="420"/>
      <c r="F17" s="328"/>
      <c r="G17" s="344"/>
      <c r="H17" s="328"/>
      <c r="I17" s="344"/>
      <c r="J17" s="328"/>
      <c r="K17" s="344"/>
      <c r="L17" s="328"/>
      <c r="M17" s="327"/>
      <c r="N17" s="328"/>
      <c r="O17" s="327"/>
      <c r="Q17" s="135"/>
      <c r="R17" s="136"/>
      <c r="S17" s="135"/>
      <c r="T17" s="135"/>
    </row>
    <row r="18" spans="2:20" s="137" customFormat="1" ht="15" customHeight="1" x14ac:dyDescent="0.25">
      <c r="B18" s="438" t="s">
        <v>324</v>
      </c>
      <c r="C18" s="417" t="s">
        <v>229</v>
      </c>
      <c r="D18" s="413" t="s">
        <v>101</v>
      </c>
      <c r="E18" s="414">
        <v>1932.21</v>
      </c>
      <c r="F18" s="328"/>
      <c r="G18" s="344">
        <v>1932.21</v>
      </c>
      <c r="H18" s="328"/>
      <c r="I18" s="344"/>
      <c r="J18" s="328"/>
      <c r="K18" s="344"/>
      <c r="L18" s="328"/>
      <c r="M18" s="327">
        <f t="shared" ref="M18:M20" si="2">+G18+I18+K18</f>
        <v>1932.21</v>
      </c>
      <c r="N18" s="328"/>
      <c r="O18" s="327">
        <f t="shared" ref="O18:O20" si="3">+E18-M18</f>
        <v>0</v>
      </c>
      <c r="Q18" s="135"/>
      <c r="R18" s="136"/>
      <c r="S18" s="135"/>
      <c r="T18" s="135"/>
    </row>
    <row r="19" spans="2:20" s="137" customFormat="1" ht="15" customHeight="1" x14ac:dyDescent="0.25">
      <c r="B19" s="438" t="s">
        <v>325</v>
      </c>
      <c r="C19" s="417" t="s">
        <v>230</v>
      </c>
      <c r="D19" s="413" t="s">
        <v>101</v>
      </c>
      <c r="E19" s="414">
        <v>1932.21</v>
      </c>
      <c r="F19" s="328"/>
      <c r="G19" s="344">
        <v>1932.21</v>
      </c>
      <c r="H19" s="328"/>
      <c r="I19" s="344"/>
      <c r="J19" s="328"/>
      <c r="K19" s="344"/>
      <c r="L19" s="328"/>
      <c r="M19" s="327">
        <f t="shared" si="2"/>
        <v>1932.21</v>
      </c>
      <c r="N19" s="328"/>
      <c r="O19" s="327">
        <f t="shared" si="3"/>
        <v>0</v>
      </c>
      <c r="Q19" s="135"/>
    </row>
    <row r="20" spans="2:20" s="137" customFormat="1" ht="15" customHeight="1" x14ac:dyDescent="0.25">
      <c r="B20" s="438" t="s">
        <v>326</v>
      </c>
      <c r="C20" s="417" t="s">
        <v>577</v>
      </c>
      <c r="D20" s="413" t="s">
        <v>5</v>
      </c>
      <c r="E20" s="414">
        <v>1</v>
      </c>
      <c r="F20" s="328"/>
      <c r="G20" s="344">
        <v>1</v>
      </c>
      <c r="H20" s="328"/>
      <c r="I20" s="344"/>
      <c r="J20" s="328"/>
      <c r="K20" s="344"/>
      <c r="L20" s="328"/>
      <c r="M20" s="327">
        <f t="shared" si="2"/>
        <v>1</v>
      </c>
      <c r="N20" s="328"/>
      <c r="O20" s="327">
        <f t="shared" si="3"/>
        <v>0</v>
      </c>
      <c r="Q20" s="135"/>
    </row>
    <row r="21" spans="2:20" s="137" customFormat="1" ht="15" customHeight="1" x14ac:dyDescent="0.25">
      <c r="B21" s="437" t="s">
        <v>328</v>
      </c>
      <c r="C21" s="416" t="s">
        <v>329</v>
      </c>
      <c r="D21" s="419"/>
      <c r="E21" s="420"/>
      <c r="F21" s="328"/>
      <c r="G21" s="344"/>
      <c r="H21" s="328"/>
      <c r="I21" s="344"/>
      <c r="J21" s="328"/>
      <c r="K21" s="344"/>
      <c r="L21" s="328"/>
      <c r="M21" s="327"/>
      <c r="N21" s="328"/>
      <c r="O21" s="327"/>
      <c r="Q21" s="135"/>
    </row>
    <row r="22" spans="2:20" s="137" customFormat="1" ht="15" customHeight="1" x14ac:dyDescent="0.25">
      <c r="B22" s="438" t="s">
        <v>330</v>
      </c>
      <c r="C22" s="417" t="s">
        <v>331</v>
      </c>
      <c r="D22" s="413" t="s">
        <v>101</v>
      </c>
      <c r="E22" s="414">
        <v>135.5</v>
      </c>
      <c r="F22" s="328"/>
      <c r="G22" s="344">
        <v>135.5</v>
      </c>
      <c r="H22" s="328"/>
      <c r="I22" s="344"/>
      <c r="J22" s="328"/>
      <c r="K22" s="344"/>
      <c r="L22" s="328"/>
      <c r="M22" s="327">
        <f t="shared" ref="M22:M23" si="4">+G22+I22+K22</f>
        <v>135.5</v>
      </c>
      <c r="N22" s="328"/>
      <c r="O22" s="327">
        <f t="shared" ref="O22:O23" si="5">+E22-M22</f>
        <v>0</v>
      </c>
      <c r="Q22" s="135"/>
      <c r="R22" s="136"/>
      <c r="S22" s="135"/>
      <c r="T22" s="135"/>
    </row>
    <row r="23" spans="2:20" s="137" customFormat="1" ht="15" customHeight="1" x14ac:dyDescent="0.25">
      <c r="B23" s="438" t="s">
        <v>332</v>
      </c>
      <c r="C23" s="418" t="s">
        <v>333</v>
      </c>
      <c r="D23" s="413" t="s">
        <v>234</v>
      </c>
      <c r="E23" s="414">
        <v>20.329999999999998</v>
      </c>
      <c r="F23" s="328"/>
      <c r="G23" s="344">
        <v>20.329999999999998</v>
      </c>
      <c r="H23" s="328"/>
      <c r="I23" s="344"/>
      <c r="J23" s="328"/>
      <c r="K23" s="344"/>
      <c r="L23" s="328"/>
      <c r="M23" s="327">
        <f t="shared" si="4"/>
        <v>20.329999999999998</v>
      </c>
      <c r="N23" s="328"/>
      <c r="O23" s="327">
        <f t="shared" si="5"/>
        <v>0</v>
      </c>
      <c r="Q23" s="135"/>
      <c r="R23" s="136"/>
      <c r="S23" s="135"/>
      <c r="T23" s="135"/>
    </row>
    <row r="24" spans="2:20" s="137" customFormat="1" ht="15" customHeight="1" x14ac:dyDescent="0.25">
      <c r="B24" s="437" t="s">
        <v>334</v>
      </c>
      <c r="C24" s="416" t="s">
        <v>335</v>
      </c>
      <c r="D24" s="419"/>
      <c r="E24" s="420"/>
      <c r="F24" s="328"/>
      <c r="G24" s="344"/>
      <c r="H24" s="328"/>
      <c r="I24" s="344"/>
      <c r="J24" s="328"/>
      <c r="K24" s="344"/>
      <c r="L24" s="328"/>
      <c r="M24" s="344"/>
      <c r="N24" s="328"/>
      <c r="O24" s="344"/>
      <c r="Q24" s="135"/>
      <c r="R24" s="136"/>
      <c r="S24" s="135"/>
      <c r="T24" s="135"/>
    </row>
    <row r="25" spans="2:20" s="137" customFormat="1" ht="15" customHeight="1" x14ac:dyDescent="0.25">
      <c r="B25" s="438" t="s">
        <v>336</v>
      </c>
      <c r="C25" s="417" t="s">
        <v>337</v>
      </c>
      <c r="D25" s="413" t="s">
        <v>233</v>
      </c>
      <c r="E25" s="414">
        <v>2</v>
      </c>
      <c r="F25" s="328"/>
      <c r="G25" s="344">
        <v>2</v>
      </c>
      <c r="H25" s="328"/>
      <c r="I25" s="344"/>
      <c r="J25" s="328"/>
      <c r="K25" s="344"/>
      <c r="L25" s="328"/>
      <c r="M25" s="327">
        <f t="shared" ref="M25:M26" si="6">+G25+I25+K25</f>
        <v>2</v>
      </c>
      <c r="N25" s="328"/>
      <c r="O25" s="327">
        <f t="shared" ref="O25:O26" si="7">+E25-M25</f>
        <v>0</v>
      </c>
      <c r="Q25" s="135"/>
      <c r="R25" s="136"/>
      <c r="S25" s="135"/>
      <c r="T25" s="135"/>
    </row>
    <row r="26" spans="2:20" s="137" customFormat="1" ht="15" customHeight="1" x14ac:dyDescent="0.25">
      <c r="B26" s="438" t="s">
        <v>338</v>
      </c>
      <c r="C26" s="418" t="s">
        <v>339</v>
      </c>
      <c r="D26" s="413" t="s">
        <v>5</v>
      </c>
      <c r="E26" s="414">
        <v>1</v>
      </c>
      <c r="F26" s="328"/>
      <c r="G26" s="344">
        <v>1</v>
      </c>
      <c r="H26" s="328"/>
      <c r="I26" s="344"/>
      <c r="J26" s="328"/>
      <c r="K26" s="344"/>
      <c r="L26" s="328"/>
      <c r="M26" s="327">
        <f t="shared" si="6"/>
        <v>1</v>
      </c>
      <c r="N26" s="328"/>
      <c r="O26" s="327">
        <f t="shared" si="7"/>
        <v>0</v>
      </c>
      <c r="Q26" s="135"/>
      <c r="R26" s="136"/>
      <c r="S26" s="135"/>
      <c r="T26" s="135"/>
    </row>
    <row r="27" spans="2:20" s="137" customFormat="1" ht="15" customHeight="1" x14ac:dyDescent="0.25">
      <c r="B27" s="436" t="s">
        <v>340</v>
      </c>
      <c r="C27" s="415" t="s">
        <v>341</v>
      </c>
      <c r="D27" s="421"/>
      <c r="E27" s="422"/>
      <c r="F27" s="328"/>
      <c r="G27" s="344"/>
      <c r="H27" s="328"/>
      <c r="I27" s="344"/>
      <c r="J27" s="328"/>
      <c r="K27" s="344"/>
      <c r="L27" s="328"/>
      <c r="M27" s="327"/>
      <c r="N27" s="328"/>
      <c r="O27" s="327"/>
      <c r="Q27" s="135"/>
      <c r="R27" s="136"/>
      <c r="S27" s="135"/>
      <c r="T27" s="135"/>
    </row>
    <row r="28" spans="2:20" s="137" customFormat="1" ht="15" customHeight="1" x14ac:dyDescent="0.25">
      <c r="B28" s="437" t="s">
        <v>342</v>
      </c>
      <c r="C28" s="416" t="s">
        <v>343</v>
      </c>
      <c r="D28" s="419"/>
      <c r="E28" s="420"/>
      <c r="F28" s="328"/>
      <c r="G28" s="344"/>
      <c r="H28" s="328"/>
      <c r="I28" s="344"/>
      <c r="J28" s="328"/>
      <c r="K28" s="344"/>
      <c r="L28" s="328"/>
      <c r="M28" s="344"/>
      <c r="N28" s="328"/>
      <c r="O28" s="344"/>
      <c r="Q28" s="135"/>
      <c r="R28" s="136"/>
      <c r="S28" s="135"/>
      <c r="T28" s="135"/>
    </row>
    <row r="29" spans="2:20" s="137" customFormat="1" ht="15" customHeight="1" x14ac:dyDescent="0.25">
      <c r="B29" s="438" t="s">
        <v>344</v>
      </c>
      <c r="C29" s="417" t="s">
        <v>345</v>
      </c>
      <c r="D29" s="413" t="s">
        <v>234</v>
      </c>
      <c r="E29" s="414">
        <v>590.54</v>
      </c>
      <c r="F29" s="328"/>
      <c r="G29" s="344">
        <v>590.54</v>
      </c>
      <c r="H29" s="328"/>
      <c r="I29" s="344"/>
      <c r="J29" s="328"/>
      <c r="K29" s="344"/>
      <c r="L29" s="328"/>
      <c r="M29" s="327">
        <f t="shared" ref="M29:M31" si="8">+G29+I29+K29</f>
        <v>590.54</v>
      </c>
      <c r="N29" s="328"/>
      <c r="O29" s="327">
        <f t="shared" ref="O29:O31" si="9">+E29-M29</f>
        <v>0</v>
      </c>
      <c r="Q29" s="135"/>
      <c r="R29" s="136"/>
      <c r="S29" s="135"/>
      <c r="T29" s="135"/>
    </row>
    <row r="30" spans="2:20" s="137" customFormat="1" ht="15" customHeight="1" x14ac:dyDescent="0.25">
      <c r="B30" s="438" t="s">
        <v>346</v>
      </c>
      <c r="C30" s="417" t="s">
        <v>347</v>
      </c>
      <c r="D30" s="413" t="s">
        <v>234</v>
      </c>
      <c r="E30" s="414">
        <v>51.64</v>
      </c>
      <c r="F30" s="328"/>
      <c r="G30" s="344">
        <v>51.64</v>
      </c>
      <c r="H30" s="328"/>
      <c r="I30" s="344"/>
      <c r="J30" s="328"/>
      <c r="K30" s="344"/>
      <c r="L30" s="328"/>
      <c r="M30" s="327">
        <f t="shared" si="8"/>
        <v>51.64</v>
      </c>
      <c r="N30" s="328"/>
      <c r="O30" s="327">
        <f t="shared" si="9"/>
        <v>0</v>
      </c>
      <c r="Q30" s="135"/>
      <c r="R30" s="136"/>
      <c r="S30" s="135"/>
      <c r="T30" s="135"/>
    </row>
    <row r="31" spans="2:20" s="137" customFormat="1" ht="15" customHeight="1" x14ac:dyDescent="0.25">
      <c r="B31" s="438" t="s">
        <v>348</v>
      </c>
      <c r="C31" s="418" t="s">
        <v>349</v>
      </c>
      <c r="D31" s="413" t="s">
        <v>234</v>
      </c>
      <c r="E31" s="414">
        <v>738.18</v>
      </c>
      <c r="F31" s="328"/>
      <c r="G31" s="344">
        <v>738.18</v>
      </c>
      <c r="H31" s="328"/>
      <c r="I31" s="344"/>
      <c r="J31" s="328"/>
      <c r="K31" s="344"/>
      <c r="L31" s="328"/>
      <c r="M31" s="327">
        <f t="shared" si="8"/>
        <v>738.18</v>
      </c>
      <c r="N31" s="328"/>
      <c r="O31" s="327">
        <f t="shared" si="9"/>
        <v>0</v>
      </c>
      <c r="Q31" s="135"/>
      <c r="R31" s="136"/>
      <c r="S31" s="135"/>
      <c r="T31" s="135"/>
    </row>
    <row r="32" spans="2:20" s="137" customFormat="1" ht="15" customHeight="1" x14ac:dyDescent="0.25">
      <c r="B32" s="437" t="s">
        <v>350</v>
      </c>
      <c r="C32" s="416" t="s">
        <v>351</v>
      </c>
      <c r="D32" s="419"/>
      <c r="E32" s="420"/>
      <c r="F32" s="328"/>
      <c r="G32" s="344"/>
      <c r="H32" s="328"/>
      <c r="I32" s="344"/>
      <c r="J32" s="328"/>
      <c r="K32" s="344"/>
      <c r="L32" s="328"/>
      <c r="M32" s="327"/>
      <c r="N32" s="328"/>
      <c r="O32" s="327"/>
      <c r="Q32" s="135"/>
      <c r="R32" s="136"/>
      <c r="S32" s="135"/>
      <c r="T32" s="135"/>
    </row>
    <row r="33" spans="2:20" s="137" customFormat="1" ht="15" customHeight="1" x14ac:dyDescent="0.25">
      <c r="B33" s="438" t="s">
        <v>352</v>
      </c>
      <c r="C33" s="417" t="s">
        <v>353</v>
      </c>
      <c r="D33" s="413" t="s">
        <v>101</v>
      </c>
      <c r="E33" s="414">
        <v>910.14</v>
      </c>
      <c r="F33" s="328"/>
      <c r="G33" s="344">
        <v>910.14</v>
      </c>
      <c r="H33" s="328"/>
      <c r="I33" s="344"/>
      <c r="J33" s="328"/>
      <c r="K33" s="344"/>
      <c r="L33" s="328"/>
      <c r="M33" s="327">
        <f>+G33+I33+K33</f>
        <v>910.14</v>
      </c>
      <c r="N33" s="328"/>
      <c r="O33" s="327">
        <f>+E33-M33</f>
        <v>0</v>
      </c>
      <c r="Q33" s="135"/>
      <c r="R33" s="136"/>
      <c r="S33" s="135"/>
      <c r="T33" s="135"/>
    </row>
    <row r="34" spans="2:20" s="137" customFormat="1" ht="15" customHeight="1" x14ac:dyDescent="0.25">
      <c r="B34" s="437" t="s">
        <v>354</v>
      </c>
      <c r="C34" s="416" t="s">
        <v>355</v>
      </c>
      <c r="D34" s="419"/>
      <c r="E34" s="420"/>
      <c r="F34" s="328"/>
      <c r="G34" s="344"/>
      <c r="H34" s="328"/>
      <c r="I34" s="344"/>
      <c r="J34" s="328"/>
      <c r="K34" s="344"/>
      <c r="L34" s="328"/>
      <c r="M34" s="327"/>
      <c r="N34" s="328"/>
      <c r="O34" s="327"/>
      <c r="Q34" s="135"/>
      <c r="R34" s="136"/>
      <c r="S34" s="135"/>
      <c r="T34" s="135"/>
    </row>
    <row r="35" spans="2:20" s="137" customFormat="1" ht="15" customHeight="1" x14ac:dyDescent="0.25">
      <c r="B35" s="438" t="s">
        <v>356</v>
      </c>
      <c r="C35" s="417" t="s">
        <v>357</v>
      </c>
      <c r="D35" s="413" t="s">
        <v>101</v>
      </c>
      <c r="E35" s="414">
        <v>910.14</v>
      </c>
      <c r="F35" s="328"/>
      <c r="G35" s="344">
        <v>910.14</v>
      </c>
      <c r="H35" s="328"/>
      <c r="I35" s="344"/>
      <c r="J35" s="328"/>
      <c r="K35" s="344"/>
      <c r="L35" s="328"/>
      <c r="M35" s="327">
        <f>+G35+I35+K35</f>
        <v>910.14</v>
      </c>
      <c r="N35" s="328"/>
      <c r="O35" s="327">
        <f>+E35-M35</f>
        <v>0</v>
      </c>
      <c r="Q35" s="135"/>
      <c r="R35" s="136"/>
      <c r="S35" s="135"/>
      <c r="T35" s="135"/>
    </row>
    <row r="36" spans="2:20" s="137" customFormat="1" ht="15" customHeight="1" x14ac:dyDescent="0.25">
      <c r="B36" s="437" t="s">
        <v>358</v>
      </c>
      <c r="C36" s="416" t="s">
        <v>359</v>
      </c>
      <c r="D36" s="419"/>
      <c r="E36" s="420"/>
      <c r="F36" s="328"/>
      <c r="G36" s="344"/>
      <c r="H36" s="328"/>
      <c r="I36" s="344"/>
      <c r="J36" s="328"/>
      <c r="K36" s="344"/>
      <c r="L36" s="328"/>
      <c r="M36" s="327"/>
      <c r="N36" s="328"/>
      <c r="O36" s="327"/>
      <c r="Q36" s="135"/>
      <c r="R36" s="136"/>
      <c r="S36" s="135"/>
      <c r="T36" s="135"/>
    </row>
    <row r="37" spans="2:20" s="137" customFormat="1" ht="15" customHeight="1" x14ac:dyDescent="0.25">
      <c r="B37" s="438" t="s">
        <v>360</v>
      </c>
      <c r="C37" s="417" t="s">
        <v>361</v>
      </c>
      <c r="D37" s="413" t="s">
        <v>101</v>
      </c>
      <c r="E37" s="414">
        <v>127.29</v>
      </c>
      <c r="F37" s="328"/>
      <c r="G37" s="344">
        <v>127.29</v>
      </c>
      <c r="H37" s="328"/>
      <c r="I37" s="344"/>
      <c r="J37" s="328"/>
      <c r="K37" s="344"/>
      <c r="L37" s="328"/>
      <c r="M37" s="327">
        <f t="shared" ref="M37:M44" si="10">+G37+I37+K37</f>
        <v>127.29</v>
      </c>
      <c r="N37" s="328"/>
      <c r="O37" s="327">
        <f t="shared" ref="O37:O44" si="11">+E37-M37</f>
        <v>0</v>
      </c>
      <c r="Q37" s="135"/>
      <c r="R37" s="136"/>
      <c r="S37" s="135"/>
      <c r="T37" s="135"/>
    </row>
    <row r="38" spans="2:20" s="137" customFormat="1" ht="15" customHeight="1" x14ac:dyDescent="0.25">
      <c r="B38" s="438" t="s">
        <v>362</v>
      </c>
      <c r="C38" s="417" t="s">
        <v>363</v>
      </c>
      <c r="D38" s="413" t="s">
        <v>101</v>
      </c>
      <c r="E38" s="414">
        <v>910.14</v>
      </c>
      <c r="F38" s="328"/>
      <c r="G38" s="344">
        <v>910.14</v>
      </c>
      <c r="H38" s="328"/>
      <c r="I38" s="344"/>
      <c r="J38" s="328"/>
      <c r="K38" s="344"/>
      <c r="L38" s="328"/>
      <c r="M38" s="327">
        <f t="shared" si="10"/>
        <v>910.14</v>
      </c>
      <c r="N38" s="328"/>
      <c r="O38" s="327">
        <f t="shared" si="11"/>
        <v>0</v>
      </c>
      <c r="Q38" s="135"/>
      <c r="R38" s="136"/>
      <c r="S38" s="135"/>
      <c r="T38" s="135"/>
    </row>
    <row r="39" spans="2:20" s="137" customFormat="1" ht="15" customHeight="1" x14ac:dyDescent="0.25">
      <c r="B39" s="438" t="s">
        <v>364</v>
      </c>
      <c r="C39" s="417" t="s">
        <v>365</v>
      </c>
      <c r="D39" s="413" t="s">
        <v>101</v>
      </c>
      <c r="E39" s="414">
        <v>910.14</v>
      </c>
      <c r="F39" s="328"/>
      <c r="G39" s="344">
        <v>910.14</v>
      </c>
      <c r="H39" s="328"/>
      <c r="I39" s="344"/>
      <c r="J39" s="328"/>
      <c r="K39" s="344"/>
      <c r="L39" s="328"/>
      <c r="M39" s="327">
        <f t="shared" si="10"/>
        <v>910.14</v>
      </c>
      <c r="N39" s="328"/>
      <c r="O39" s="327">
        <f t="shared" si="11"/>
        <v>0</v>
      </c>
      <c r="Q39" s="135"/>
      <c r="R39" s="136"/>
      <c r="S39" s="135"/>
      <c r="T39" s="135"/>
    </row>
    <row r="40" spans="2:20" s="137" customFormat="1" ht="15" customHeight="1" x14ac:dyDescent="0.25">
      <c r="B40" s="438" t="s">
        <v>366</v>
      </c>
      <c r="C40" s="418" t="s">
        <v>367</v>
      </c>
      <c r="D40" s="413" t="s">
        <v>102</v>
      </c>
      <c r="E40" s="414">
        <v>80.64</v>
      </c>
      <c r="F40" s="328"/>
      <c r="G40" s="344">
        <v>80.64</v>
      </c>
      <c r="H40" s="328"/>
      <c r="I40" s="344"/>
      <c r="J40" s="328"/>
      <c r="K40" s="344"/>
      <c r="L40" s="328"/>
      <c r="M40" s="327">
        <f t="shared" si="10"/>
        <v>80.64</v>
      </c>
      <c r="N40" s="328"/>
      <c r="O40" s="327">
        <f t="shared" si="11"/>
        <v>0</v>
      </c>
      <c r="Q40" s="135"/>
      <c r="R40" s="136"/>
      <c r="S40" s="135"/>
      <c r="T40" s="135"/>
    </row>
    <row r="41" spans="2:20" s="137" customFormat="1" ht="15" customHeight="1" x14ac:dyDescent="0.25">
      <c r="B41" s="438" t="s">
        <v>368</v>
      </c>
      <c r="C41" s="418" t="s">
        <v>369</v>
      </c>
      <c r="D41" s="413" t="s">
        <v>102</v>
      </c>
      <c r="E41" s="414">
        <v>176.4</v>
      </c>
      <c r="F41" s="328"/>
      <c r="G41" s="344">
        <v>176.4</v>
      </c>
      <c r="H41" s="328"/>
      <c r="I41" s="344"/>
      <c r="J41" s="328"/>
      <c r="K41" s="344"/>
      <c r="L41" s="328"/>
      <c r="M41" s="327">
        <f t="shared" si="10"/>
        <v>176.4</v>
      </c>
      <c r="N41" s="328"/>
      <c r="O41" s="327">
        <f t="shared" si="11"/>
        <v>0</v>
      </c>
      <c r="Q41" s="135"/>
      <c r="R41" s="136"/>
      <c r="S41" s="135"/>
      <c r="T41" s="135"/>
    </row>
    <row r="42" spans="2:20" s="137" customFormat="1" ht="15" customHeight="1" x14ac:dyDescent="0.25">
      <c r="B42" s="438" t="s">
        <v>370</v>
      </c>
      <c r="C42" s="417" t="s">
        <v>371</v>
      </c>
      <c r="D42" s="413" t="s">
        <v>145</v>
      </c>
      <c r="E42" s="414">
        <v>360</v>
      </c>
      <c r="F42" s="328"/>
      <c r="G42" s="344">
        <v>360</v>
      </c>
      <c r="H42" s="328"/>
      <c r="I42" s="344"/>
      <c r="J42" s="328"/>
      <c r="K42" s="344"/>
      <c r="L42" s="328"/>
      <c r="M42" s="327">
        <f t="shared" si="10"/>
        <v>360</v>
      </c>
      <c r="N42" s="328"/>
      <c r="O42" s="327">
        <f t="shared" si="11"/>
        <v>0</v>
      </c>
      <c r="Q42" s="135"/>
      <c r="R42" s="136"/>
      <c r="S42" s="135"/>
      <c r="T42" s="135"/>
    </row>
    <row r="43" spans="2:20" s="137" customFormat="1" ht="15" customHeight="1" x14ac:dyDescent="0.25">
      <c r="B43" s="438" t="s">
        <v>372</v>
      </c>
      <c r="C43" s="417" t="s">
        <v>373</v>
      </c>
      <c r="D43" s="413" t="s">
        <v>145</v>
      </c>
      <c r="E43" s="414">
        <v>255</v>
      </c>
      <c r="F43" s="328"/>
      <c r="G43" s="344">
        <v>255</v>
      </c>
      <c r="H43" s="328"/>
      <c r="I43" s="344"/>
      <c r="J43" s="328"/>
      <c r="K43" s="344"/>
      <c r="L43" s="328"/>
      <c r="M43" s="327">
        <f t="shared" si="10"/>
        <v>255</v>
      </c>
      <c r="N43" s="328"/>
      <c r="O43" s="327">
        <f t="shared" si="11"/>
        <v>0</v>
      </c>
      <c r="Q43" s="135"/>
      <c r="R43" s="136"/>
      <c r="S43" s="135"/>
      <c r="T43" s="135"/>
    </row>
    <row r="44" spans="2:20" s="137" customFormat="1" ht="15" customHeight="1" x14ac:dyDescent="0.25">
      <c r="B44" s="438" t="s">
        <v>374</v>
      </c>
      <c r="C44" s="418" t="s">
        <v>375</v>
      </c>
      <c r="D44" s="413" t="s">
        <v>145</v>
      </c>
      <c r="E44" s="414">
        <v>150</v>
      </c>
      <c r="F44" s="328"/>
      <c r="G44" s="344">
        <v>150</v>
      </c>
      <c r="H44" s="328"/>
      <c r="I44" s="344"/>
      <c r="J44" s="328"/>
      <c r="K44" s="344"/>
      <c r="L44" s="328"/>
      <c r="M44" s="327">
        <f t="shared" si="10"/>
        <v>150</v>
      </c>
      <c r="N44" s="328"/>
      <c r="O44" s="327">
        <f t="shared" si="11"/>
        <v>0</v>
      </c>
      <c r="Q44" s="135"/>
      <c r="R44" s="136"/>
      <c r="S44" s="135"/>
      <c r="T44" s="135"/>
    </row>
    <row r="45" spans="2:20" s="137" customFormat="1" ht="15" customHeight="1" x14ac:dyDescent="0.25">
      <c r="B45" s="437" t="s">
        <v>376</v>
      </c>
      <c r="C45" s="416" t="s">
        <v>377</v>
      </c>
      <c r="D45" s="419"/>
      <c r="E45" s="420"/>
      <c r="F45" s="328"/>
      <c r="G45" s="344"/>
      <c r="H45" s="328"/>
      <c r="I45" s="344"/>
      <c r="J45" s="328"/>
      <c r="K45" s="344"/>
      <c r="L45" s="328"/>
      <c r="M45" s="327"/>
      <c r="N45" s="328"/>
      <c r="O45" s="327"/>
      <c r="Q45" s="135"/>
      <c r="R45" s="136"/>
      <c r="S45" s="135"/>
      <c r="T45" s="135"/>
    </row>
    <row r="46" spans="2:20" s="137" customFormat="1" ht="15" customHeight="1" x14ac:dyDescent="0.25">
      <c r="B46" s="438" t="s">
        <v>378</v>
      </c>
      <c r="C46" s="417" t="s">
        <v>379</v>
      </c>
      <c r="D46" s="413" t="s">
        <v>233</v>
      </c>
      <c r="E46" s="414">
        <v>3</v>
      </c>
      <c r="F46" s="328"/>
      <c r="G46" s="344">
        <v>3</v>
      </c>
      <c r="H46" s="328"/>
      <c r="I46" s="344"/>
      <c r="J46" s="328"/>
      <c r="K46" s="344"/>
      <c r="L46" s="328"/>
      <c r="M46" s="327">
        <f>+G46+I46+K46</f>
        <v>3</v>
      </c>
      <c r="N46" s="328"/>
      <c r="O46" s="327">
        <f>+E46-M46</f>
        <v>0</v>
      </c>
      <c r="Q46" s="135"/>
      <c r="R46" s="136"/>
      <c r="S46" s="135"/>
      <c r="T46" s="135"/>
    </row>
    <row r="47" spans="2:20" s="137" customFormat="1" ht="15" customHeight="1" x14ac:dyDescent="0.25">
      <c r="B47" s="437" t="s">
        <v>380</v>
      </c>
      <c r="C47" s="416" t="s">
        <v>381</v>
      </c>
      <c r="D47" s="419"/>
      <c r="E47" s="420"/>
      <c r="F47" s="328"/>
      <c r="G47" s="344"/>
      <c r="H47" s="328"/>
      <c r="I47" s="344"/>
      <c r="J47" s="328"/>
      <c r="K47" s="344"/>
      <c r="L47" s="328"/>
      <c r="M47" s="327"/>
      <c r="N47" s="328"/>
      <c r="O47" s="327"/>
      <c r="Q47" s="135"/>
      <c r="R47" s="136"/>
      <c r="S47" s="135"/>
      <c r="T47" s="135"/>
    </row>
    <row r="48" spans="2:20" s="137" customFormat="1" ht="15" customHeight="1" x14ac:dyDescent="0.25">
      <c r="B48" s="438" t="s">
        <v>382</v>
      </c>
      <c r="C48" s="417" t="s">
        <v>383</v>
      </c>
      <c r="D48" s="413" t="s">
        <v>101</v>
      </c>
      <c r="E48" s="414">
        <v>50.6</v>
      </c>
      <c r="F48" s="328"/>
      <c r="G48" s="344"/>
      <c r="H48" s="328"/>
      <c r="I48" s="344"/>
      <c r="J48" s="328"/>
      <c r="K48" s="344"/>
      <c r="L48" s="328"/>
      <c r="M48" s="327">
        <f t="shared" ref="M48:M50" si="12">+G48+I48+K48</f>
        <v>0</v>
      </c>
      <c r="N48" s="328"/>
      <c r="O48" s="327">
        <f t="shared" ref="O48:O50" si="13">+E48-M48</f>
        <v>50.6</v>
      </c>
      <c r="Q48" s="135"/>
      <c r="R48" s="136"/>
      <c r="S48" s="135"/>
      <c r="T48" s="135"/>
    </row>
    <row r="49" spans="2:20" s="137" customFormat="1" ht="15" customHeight="1" x14ac:dyDescent="0.25">
      <c r="B49" s="438" t="s">
        <v>384</v>
      </c>
      <c r="C49" s="417" t="s">
        <v>385</v>
      </c>
      <c r="D49" s="413" t="s">
        <v>145</v>
      </c>
      <c r="E49" s="414">
        <v>170</v>
      </c>
      <c r="F49" s="328"/>
      <c r="G49" s="344"/>
      <c r="H49" s="328"/>
      <c r="I49" s="344"/>
      <c r="J49" s="328"/>
      <c r="K49" s="344"/>
      <c r="L49" s="328"/>
      <c r="M49" s="327">
        <f t="shared" si="12"/>
        <v>0</v>
      </c>
      <c r="N49" s="328"/>
      <c r="O49" s="327">
        <f t="shared" si="13"/>
        <v>170</v>
      </c>
      <c r="Q49" s="135"/>
      <c r="R49" s="136"/>
      <c r="S49" s="135"/>
      <c r="T49" s="135"/>
    </row>
    <row r="50" spans="2:20" s="137" customFormat="1" ht="15" customHeight="1" x14ac:dyDescent="0.25">
      <c r="B50" s="438" t="s">
        <v>386</v>
      </c>
      <c r="C50" s="417" t="s">
        <v>387</v>
      </c>
      <c r="D50" s="413" t="s">
        <v>233</v>
      </c>
      <c r="E50" s="414">
        <v>4</v>
      </c>
      <c r="F50" s="328"/>
      <c r="G50" s="344"/>
      <c r="H50" s="328"/>
      <c r="I50" s="344"/>
      <c r="J50" s="328"/>
      <c r="K50" s="344"/>
      <c r="L50" s="328"/>
      <c r="M50" s="327">
        <f t="shared" si="12"/>
        <v>0</v>
      </c>
      <c r="N50" s="328"/>
      <c r="O50" s="327">
        <f t="shared" si="13"/>
        <v>4</v>
      </c>
      <c r="Q50" s="135"/>
      <c r="R50" s="136"/>
      <c r="S50" s="135"/>
      <c r="T50" s="135"/>
    </row>
    <row r="51" spans="2:20" s="137" customFormat="1" ht="15" customHeight="1" x14ac:dyDescent="0.25">
      <c r="B51" s="436" t="s">
        <v>388</v>
      </c>
      <c r="C51" s="415" t="s">
        <v>389</v>
      </c>
      <c r="D51" s="421"/>
      <c r="E51" s="422"/>
      <c r="F51" s="328"/>
      <c r="G51" s="344"/>
      <c r="H51" s="328"/>
      <c r="I51" s="344"/>
      <c r="J51" s="328"/>
      <c r="K51" s="344"/>
      <c r="L51" s="328"/>
      <c r="M51" s="327"/>
      <c r="N51" s="328"/>
      <c r="O51" s="327"/>
      <c r="Q51" s="135"/>
      <c r="R51" s="136"/>
      <c r="S51" s="135"/>
      <c r="T51" s="135"/>
    </row>
    <row r="52" spans="2:20" s="137" customFormat="1" ht="15" customHeight="1" x14ac:dyDescent="0.25">
      <c r="B52" s="437" t="s">
        <v>390</v>
      </c>
      <c r="C52" s="416" t="s">
        <v>343</v>
      </c>
      <c r="D52" s="419"/>
      <c r="E52" s="420"/>
      <c r="F52" s="328"/>
      <c r="G52" s="344"/>
      <c r="H52" s="328"/>
      <c r="I52" s="344"/>
      <c r="J52" s="328"/>
      <c r="K52" s="344"/>
      <c r="L52" s="328"/>
      <c r="M52" s="344"/>
      <c r="N52" s="328"/>
      <c r="O52" s="344"/>
      <c r="Q52" s="135"/>
      <c r="R52" s="136"/>
      <c r="S52" s="135"/>
      <c r="T52" s="135"/>
    </row>
    <row r="53" spans="2:20" s="137" customFormat="1" ht="15" customHeight="1" x14ac:dyDescent="0.25">
      <c r="B53" s="438" t="s">
        <v>391</v>
      </c>
      <c r="C53" s="417" t="s">
        <v>392</v>
      </c>
      <c r="D53" s="413" t="s">
        <v>234</v>
      </c>
      <c r="E53" s="414">
        <v>56.3</v>
      </c>
      <c r="F53" s="328"/>
      <c r="G53" s="344">
        <v>56.3</v>
      </c>
      <c r="H53" s="328"/>
      <c r="I53" s="344"/>
      <c r="J53" s="328"/>
      <c r="K53" s="344"/>
      <c r="L53" s="328"/>
      <c r="M53" s="327">
        <f t="shared" ref="M53:M57" si="14">+G53+I53+K53</f>
        <v>56.3</v>
      </c>
      <c r="N53" s="328"/>
      <c r="O53" s="327">
        <f t="shared" ref="O53:O57" si="15">+E53-M53</f>
        <v>0</v>
      </c>
      <c r="Q53" s="135"/>
    </row>
    <row r="54" spans="2:20" s="137" customFormat="1" ht="15" customHeight="1" x14ac:dyDescent="0.25">
      <c r="B54" s="438" t="s">
        <v>393</v>
      </c>
      <c r="C54" s="417" t="s">
        <v>394</v>
      </c>
      <c r="D54" s="423" t="s">
        <v>234</v>
      </c>
      <c r="E54" s="424">
        <v>12</v>
      </c>
      <c r="F54" s="328"/>
      <c r="G54" s="344">
        <v>12</v>
      </c>
      <c r="H54" s="328"/>
      <c r="I54" s="344"/>
      <c r="J54" s="328"/>
      <c r="K54" s="344"/>
      <c r="L54" s="328"/>
      <c r="M54" s="327">
        <f t="shared" si="14"/>
        <v>12</v>
      </c>
      <c r="N54" s="328"/>
      <c r="O54" s="327">
        <f t="shared" si="15"/>
        <v>0</v>
      </c>
      <c r="Q54" s="135"/>
    </row>
    <row r="55" spans="2:20" s="137" customFormat="1" ht="15" customHeight="1" x14ac:dyDescent="0.25">
      <c r="B55" s="438" t="s">
        <v>395</v>
      </c>
      <c r="C55" s="418" t="s">
        <v>349</v>
      </c>
      <c r="D55" s="413" t="s">
        <v>234</v>
      </c>
      <c r="E55" s="414">
        <v>55.38</v>
      </c>
      <c r="F55" s="328"/>
      <c r="G55" s="344">
        <v>55.38</v>
      </c>
      <c r="H55" s="328"/>
      <c r="I55" s="344"/>
      <c r="J55" s="328"/>
      <c r="K55" s="344"/>
      <c r="L55" s="328"/>
      <c r="M55" s="327">
        <f t="shared" si="14"/>
        <v>55.38</v>
      </c>
      <c r="N55" s="328"/>
      <c r="O55" s="327">
        <f t="shared" si="15"/>
        <v>0</v>
      </c>
      <c r="Q55" s="135"/>
    </row>
    <row r="56" spans="2:20" s="137" customFormat="1" ht="15" customHeight="1" x14ac:dyDescent="0.25">
      <c r="B56" s="438" t="s">
        <v>396</v>
      </c>
      <c r="C56" s="417" t="s">
        <v>397</v>
      </c>
      <c r="D56" s="413" t="s">
        <v>101</v>
      </c>
      <c r="E56" s="414">
        <v>547.38</v>
      </c>
      <c r="F56" s="328"/>
      <c r="G56" s="344">
        <v>547.38</v>
      </c>
      <c r="H56" s="328"/>
      <c r="I56" s="344"/>
      <c r="J56" s="328"/>
      <c r="K56" s="344"/>
      <c r="L56" s="328"/>
      <c r="M56" s="327">
        <f t="shared" si="14"/>
        <v>547.38</v>
      </c>
      <c r="N56" s="328"/>
      <c r="O56" s="327">
        <f t="shared" si="15"/>
        <v>0</v>
      </c>
      <c r="Q56" s="135"/>
      <c r="R56" s="136"/>
      <c r="S56" s="135"/>
      <c r="T56" s="135"/>
    </row>
    <row r="57" spans="2:20" s="137" customFormat="1" ht="15" customHeight="1" x14ac:dyDescent="0.25">
      <c r="B57" s="438" t="s">
        <v>398</v>
      </c>
      <c r="C57" s="418" t="s">
        <v>399</v>
      </c>
      <c r="D57" s="413" t="s">
        <v>101</v>
      </c>
      <c r="E57" s="414">
        <v>547.38</v>
      </c>
      <c r="F57" s="328"/>
      <c r="G57" s="344">
        <v>547.38</v>
      </c>
      <c r="H57" s="328"/>
      <c r="I57" s="344"/>
      <c r="J57" s="328"/>
      <c r="K57" s="344"/>
      <c r="L57" s="328"/>
      <c r="M57" s="327">
        <f t="shared" si="14"/>
        <v>547.38</v>
      </c>
      <c r="N57" s="328"/>
      <c r="O57" s="327">
        <f t="shared" si="15"/>
        <v>0</v>
      </c>
      <c r="Q57" s="135"/>
      <c r="R57" s="136"/>
      <c r="S57" s="135"/>
      <c r="T57" s="135"/>
    </row>
    <row r="58" spans="2:20" s="137" customFormat="1" ht="15" customHeight="1" x14ac:dyDescent="0.25">
      <c r="B58" s="437" t="s">
        <v>400</v>
      </c>
      <c r="C58" s="416" t="s">
        <v>401</v>
      </c>
      <c r="D58" s="419"/>
      <c r="E58" s="420"/>
      <c r="F58" s="328"/>
      <c r="G58" s="344"/>
      <c r="H58" s="328"/>
      <c r="I58" s="344"/>
      <c r="J58" s="328"/>
      <c r="K58" s="344"/>
      <c r="L58" s="328"/>
      <c r="M58" s="327"/>
      <c r="N58" s="328"/>
      <c r="O58" s="327"/>
      <c r="Q58" s="135"/>
      <c r="R58" s="136"/>
      <c r="S58" s="135"/>
      <c r="T58" s="135"/>
    </row>
    <row r="59" spans="2:20" s="137" customFormat="1" ht="15" customHeight="1" x14ac:dyDescent="0.25">
      <c r="B59" s="438" t="s">
        <v>402</v>
      </c>
      <c r="C59" s="417" t="s">
        <v>403</v>
      </c>
      <c r="D59" s="413" t="s">
        <v>101</v>
      </c>
      <c r="E59" s="414">
        <v>55.28</v>
      </c>
      <c r="F59" s="328"/>
      <c r="G59" s="344"/>
      <c r="H59" s="328"/>
      <c r="I59" s="344">
        <v>55.28</v>
      </c>
      <c r="J59" s="328"/>
      <c r="K59" s="344"/>
      <c r="L59" s="328"/>
      <c r="M59" s="327">
        <f t="shared" ref="M59:M63" si="16">+G59+I59+K59</f>
        <v>55.28</v>
      </c>
      <c r="N59" s="328"/>
      <c r="O59" s="327">
        <f t="shared" ref="O59:O63" si="17">+E59-M59</f>
        <v>0</v>
      </c>
      <c r="Q59" s="135"/>
      <c r="R59" s="136"/>
      <c r="S59" s="135"/>
      <c r="T59" s="135"/>
    </row>
    <row r="60" spans="2:20" s="137" customFormat="1" ht="15" customHeight="1" x14ac:dyDescent="0.25">
      <c r="B60" s="438" t="s">
        <v>404</v>
      </c>
      <c r="C60" s="418" t="s">
        <v>405</v>
      </c>
      <c r="D60" s="413" t="s">
        <v>101</v>
      </c>
      <c r="E60" s="414">
        <v>547.38</v>
      </c>
      <c r="F60" s="328"/>
      <c r="G60" s="344"/>
      <c r="H60" s="328"/>
      <c r="I60" s="344">
        <v>547.38</v>
      </c>
      <c r="J60" s="328"/>
      <c r="K60" s="344"/>
      <c r="L60" s="328"/>
      <c r="M60" s="327">
        <f t="shared" si="16"/>
        <v>547.38</v>
      </c>
      <c r="N60" s="328"/>
      <c r="O60" s="327">
        <f t="shared" si="17"/>
        <v>0</v>
      </c>
      <c r="Q60" s="135"/>
      <c r="R60" s="136"/>
      <c r="S60" s="135"/>
      <c r="T60" s="135"/>
    </row>
    <row r="61" spans="2:20" s="137" customFormat="1" ht="15" customHeight="1" x14ac:dyDescent="0.25">
      <c r="B61" s="438" t="s">
        <v>406</v>
      </c>
      <c r="C61" s="417" t="s">
        <v>407</v>
      </c>
      <c r="D61" s="413" t="s">
        <v>145</v>
      </c>
      <c r="E61" s="414">
        <v>404</v>
      </c>
      <c r="F61" s="328"/>
      <c r="G61" s="344"/>
      <c r="H61" s="328"/>
      <c r="I61" s="344">
        <v>404</v>
      </c>
      <c r="J61" s="328"/>
      <c r="K61" s="344"/>
      <c r="L61" s="328"/>
      <c r="M61" s="327">
        <f t="shared" si="16"/>
        <v>404</v>
      </c>
      <c r="N61" s="328"/>
      <c r="O61" s="327">
        <f t="shared" si="17"/>
        <v>0</v>
      </c>
      <c r="Q61" s="135"/>
      <c r="R61" s="136"/>
      <c r="S61" s="135"/>
      <c r="T61" s="135"/>
    </row>
    <row r="62" spans="2:20" s="137" customFormat="1" ht="15" customHeight="1" x14ac:dyDescent="0.25">
      <c r="B62" s="438" t="s">
        <v>408</v>
      </c>
      <c r="C62" s="417" t="s">
        <v>409</v>
      </c>
      <c r="D62" s="413"/>
      <c r="E62" s="414">
        <v>547.38</v>
      </c>
      <c r="F62" s="328"/>
      <c r="G62" s="344"/>
      <c r="H62" s="328"/>
      <c r="I62" s="344">
        <v>547.38</v>
      </c>
      <c r="J62" s="328"/>
      <c r="K62" s="344"/>
      <c r="L62" s="328"/>
      <c r="M62" s="327">
        <f t="shared" si="16"/>
        <v>547.38</v>
      </c>
      <c r="N62" s="328"/>
      <c r="O62" s="327">
        <f t="shared" si="17"/>
        <v>0</v>
      </c>
      <c r="Q62" s="135"/>
      <c r="R62" s="136"/>
      <c r="S62" s="135"/>
      <c r="T62" s="135"/>
    </row>
    <row r="63" spans="2:20" s="137" customFormat="1" ht="15" customHeight="1" x14ac:dyDescent="0.25">
      <c r="B63" s="438" t="s">
        <v>410</v>
      </c>
      <c r="C63" s="417" t="s">
        <v>411</v>
      </c>
      <c r="D63" s="413" t="s">
        <v>145</v>
      </c>
      <c r="E63" s="414">
        <v>158.4</v>
      </c>
      <c r="F63" s="328"/>
      <c r="G63" s="344"/>
      <c r="H63" s="328"/>
      <c r="I63" s="344">
        <v>158.4</v>
      </c>
      <c r="J63" s="328"/>
      <c r="K63" s="344"/>
      <c r="L63" s="328"/>
      <c r="M63" s="327">
        <f t="shared" si="16"/>
        <v>158.4</v>
      </c>
      <c r="N63" s="328"/>
      <c r="O63" s="327">
        <f t="shared" si="17"/>
        <v>0</v>
      </c>
      <c r="Q63" s="135"/>
      <c r="R63" s="136"/>
      <c r="S63" s="135"/>
      <c r="T63" s="135"/>
    </row>
    <row r="64" spans="2:20" s="137" customFormat="1" ht="15" customHeight="1" x14ac:dyDescent="0.25">
      <c r="B64" s="437" t="s">
        <v>412</v>
      </c>
      <c r="C64" s="416" t="s">
        <v>413</v>
      </c>
      <c r="D64" s="419"/>
      <c r="E64" s="420"/>
      <c r="F64" s="328"/>
      <c r="G64" s="344"/>
      <c r="H64" s="328"/>
      <c r="I64" s="344"/>
      <c r="J64" s="328"/>
      <c r="K64" s="344"/>
      <c r="L64" s="328"/>
      <c r="M64" s="327"/>
      <c r="N64" s="328"/>
      <c r="O64" s="327"/>
      <c r="Q64" s="135"/>
      <c r="R64" s="136"/>
      <c r="S64" s="135"/>
      <c r="T64" s="135"/>
    </row>
    <row r="65" spans="2:20" s="137" customFormat="1" ht="15" customHeight="1" x14ac:dyDescent="0.25">
      <c r="B65" s="438" t="s">
        <v>414</v>
      </c>
      <c r="C65" s="417" t="s">
        <v>415</v>
      </c>
      <c r="D65" s="413" t="s">
        <v>101</v>
      </c>
      <c r="E65" s="414">
        <v>16.25</v>
      </c>
      <c r="F65" s="328"/>
      <c r="G65" s="344"/>
      <c r="H65" s="328"/>
      <c r="I65" s="344">
        <v>16.25</v>
      </c>
      <c r="J65" s="328"/>
      <c r="K65" s="344"/>
      <c r="L65" s="328"/>
      <c r="M65" s="327">
        <f t="shared" ref="M65:M68" si="18">+G65+I65+K65</f>
        <v>16.25</v>
      </c>
      <c r="N65" s="328"/>
      <c r="O65" s="327">
        <f t="shared" ref="O65:O68" si="19">+E65-M65</f>
        <v>0</v>
      </c>
      <c r="Q65" s="135"/>
      <c r="R65" s="136"/>
      <c r="S65" s="135"/>
      <c r="T65" s="135"/>
    </row>
    <row r="66" spans="2:20" s="137" customFormat="1" ht="15" customHeight="1" x14ac:dyDescent="0.25">
      <c r="B66" s="438" t="s">
        <v>416</v>
      </c>
      <c r="C66" s="417" t="s">
        <v>417</v>
      </c>
      <c r="D66" s="413" t="s">
        <v>101</v>
      </c>
      <c r="E66" s="414">
        <v>86.65</v>
      </c>
      <c r="F66" s="328"/>
      <c r="G66" s="344"/>
      <c r="H66" s="328"/>
      <c r="I66" s="344">
        <v>86.65</v>
      </c>
      <c r="J66" s="328"/>
      <c r="K66" s="344"/>
      <c r="L66" s="328"/>
      <c r="M66" s="327">
        <f t="shared" si="18"/>
        <v>86.65</v>
      </c>
      <c r="N66" s="328"/>
      <c r="O66" s="327">
        <f t="shared" si="19"/>
        <v>0</v>
      </c>
      <c r="Q66" s="135"/>
      <c r="R66" s="136"/>
      <c r="S66" s="135"/>
      <c r="T66" s="135"/>
    </row>
    <row r="67" spans="2:20" s="137" customFormat="1" ht="15" customHeight="1" x14ac:dyDescent="0.25">
      <c r="B67" s="438" t="s">
        <v>418</v>
      </c>
      <c r="C67" s="417" t="s">
        <v>419</v>
      </c>
      <c r="D67" s="413" t="s">
        <v>101</v>
      </c>
      <c r="E67" s="414">
        <v>86.65</v>
      </c>
      <c r="F67" s="328"/>
      <c r="G67" s="344"/>
      <c r="H67" s="328"/>
      <c r="I67" s="344">
        <v>86.65</v>
      </c>
      <c r="J67" s="328"/>
      <c r="K67" s="344"/>
      <c r="L67" s="328"/>
      <c r="M67" s="327">
        <f t="shared" si="18"/>
        <v>86.65</v>
      </c>
      <c r="N67" s="328"/>
      <c r="O67" s="327">
        <f t="shared" si="19"/>
        <v>0</v>
      </c>
      <c r="Q67" s="135"/>
      <c r="R67" s="136"/>
      <c r="S67" s="135"/>
      <c r="T67" s="135"/>
    </row>
    <row r="68" spans="2:20" s="137" customFormat="1" ht="15" customHeight="1" x14ac:dyDescent="0.25">
      <c r="B68" s="438" t="s">
        <v>420</v>
      </c>
      <c r="C68" s="417" t="s">
        <v>411</v>
      </c>
      <c r="D68" s="413" t="s">
        <v>145</v>
      </c>
      <c r="E68" s="414">
        <v>110</v>
      </c>
      <c r="F68" s="328"/>
      <c r="G68" s="344"/>
      <c r="H68" s="328"/>
      <c r="I68" s="344">
        <v>110</v>
      </c>
      <c r="J68" s="328"/>
      <c r="K68" s="344"/>
      <c r="L68" s="328"/>
      <c r="M68" s="327">
        <f t="shared" si="18"/>
        <v>110</v>
      </c>
      <c r="N68" s="328"/>
      <c r="O68" s="327">
        <f t="shared" si="19"/>
        <v>0</v>
      </c>
      <c r="Q68" s="135"/>
      <c r="R68" s="136"/>
      <c r="S68" s="135"/>
      <c r="T68" s="135"/>
    </row>
    <row r="69" spans="2:20" s="137" customFormat="1" ht="15" customHeight="1" x14ac:dyDescent="0.25">
      <c r="B69" s="437" t="s">
        <v>421</v>
      </c>
      <c r="C69" s="416" t="s">
        <v>422</v>
      </c>
      <c r="D69" s="419"/>
      <c r="E69" s="420"/>
      <c r="F69" s="328"/>
      <c r="G69" s="344"/>
      <c r="H69" s="328"/>
      <c r="I69" s="344"/>
      <c r="J69" s="328"/>
      <c r="K69" s="344"/>
      <c r="L69" s="328"/>
      <c r="M69" s="344"/>
      <c r="N69" s="328"/>
      <c r="O69" s="344"/>
      <c r="Q69" s="135"/>
      <c r="R69" s="136"/>
      <c r="S69" s="135"/>
      <c r="T69" s="135"/>
    </row>
    <row r="70" spans="2:20" s="137" customFormat="1" ht="15" customHeight="1" x14ac:dyDescent="0.25">
      <c r="B70" s="438" t="s">
        <v>423</v>
      </c>
      <c r="C70" s="417" t="s">
        <v>424</v>
      </c>
      <c r="D70" s="413" t="s">
        <v>101</v>
      </c>
      <c r="E70" s="414">
        <v>64</v>
      </c>
      <c r="F70" s="328"/>
      <c r="G70" s="344"/>
      <c r="H70" s="328"/>
      <c r="I70" s="344">
        <v>64</v>
      </c>
      <c r="J70" s="328"/>
      <c r="K70" s="344"/>
      <c r="L70" s="328"/>
      <c r="M70" s="327">
        <f t="shared" ref="M70:M73" si="20">+G70+I70+K70</f>
        <v>64</v>
      </c>
      <c r="N70" s="328"/>
      <c r="O70" s="327">
        <f t="shared" ref="O70:O73" si="21">+E70-M70</f>
        <v>0</v>
      </c>
      <c r="Q70" s="135"/>
      <c r="R70" s="136"/>
      <c r="S70" s="135"/>
      <c r="T70" s="135"/>
    </row>
    <row r="71" spans="2:20" s="137" customFormat="1" ht="15" customHeight="1" x14ac:dyDescent="0.25">
      <c r="B71" s="438" t="s">
        <v>425</v>
      </c>
      <c r="C71" s="417" t="s">
        <v>426</v>
      </c>
      <c r="D71" s="413" t="s">
        <v>101</v>
      </c>
      <c r="E71" s="414">
        <v>2.8</v>
      </c>
      <c r="F71" s="328"/>
      <c r="G71" s="344"/>
      <c r="H71" s="328"/>
      <c r="I71" s="344">
        <v>2.8</v>
      </c>
      <c r="J71" s="328"/>
      <c r="K71" s="344"/>
      <c r="L71" s="328"/>
      <c r="M71" s="327">
        <f t="shared" si="20"/>
        <v>2.8</v>
      </c>
      <c r="N71" s="328"/>
      <c r="O71" s="327">
        <f t="shared" si="21"/>
        <v>0</v>
      </c>
      <c r="Q71" s="135"/>
      <c r="R71" s="136"/>
      <c r="S71" s="135"/>
      <c r="T71" s="135"/>
    </row>
    <row r="72" spans="2:20" s="137" customFormat="1" ht="15" customHeight="1" x14ac:dyDescent="0.25">
      <c r="B72" s="438" t="s">
        <v>427</v>
      </c>
      <c r="C72" s="417" t="s">
        <v>428</v>
      </c>
      <c r="D72" s="413" t="s">
        <v>145</v>
      </c>
      <c r="E72" s="414">
        <v>28</v>
      </c>
      <c r="F72" s="328"/>
      <c r="G72" s="344"/>
      <c r="H72" s="328"/>
      <c r="I72" s="344">
        <v>28</v>
      </c>
      <c r="J72" s="328"/>
      <c r="K72" s="344"/>
      <c r="L72" s="328"/>
      <c r="M72" s="327">
        <f t="shared" si="20"/>
        <v>28</v>
      </c>
      <c r="N72" s="328"/>
      <c r="O72" s="327">
        <f t="shared" si="21"/>
        <v>0</v>
      </c>
      <c r="Q72" s="135"/>
      <c r="R72" s="136"/>
      <c r="S72" s="135"/>
      <c r="T72" s="135"/>
    </row>
    <row r="73" spans="2:20" s="137" customFormat="1" ht="15" customHeight="1" x14ac:dyDescent="0.25">
      <c r="B73" s="438" t="s">
        <v>429</v>
      </c>
      <c r="C73" s="417" t="s">
        <v>409</v>
      </c>
      <c r="D73" s="413" t="s">
        <v>101</v>
      </c>
      <c r="E73" s="414">
        <v>64</v>
      </c>
      <c r="F73" s="328"/>
      <c r="G73" s="344"/>
      <c r="H73" s="328"/>
      <c r="I73" s="344">
        <v>64</v>
      </c>
      <c r="J73" s="328"/>
      <c r="K73" s="344"/>
      <c r="L73" s="328"/>
      <c r="M73" s="327">
        <f t="shared" si="20"/>
        <v>64</v>
      </c>
      <c r="N73" s="328"/>
      <c r="O73" s="327">
        <f t="shared" si="21"/>
        <v>0</v>
      </c>
      <c r="Q73" s="135"/>
      <c r="R73" s="136"/>
      <c r="S73" s="135"/>
      <c r="T73" s="135"/>
    </row>
    <row r="74" spans="2:20" s="137" customFormat="1" ht="15" customHeight="1" x14ac:dyDescent="0.25">
      <c r="B74" s="437" t="s">
        <v>430</v>
      </c>
      <c r="C74" s="416" t="s">
        <v>431</v>
      </c>
      <c r="D74" s="419"/>
      <c r="E74" s="420"/>
      <c r="F74" s="328"/>
      <c r="G74" s="344"/>
      <c r="H74" s="328"/>
      <c r="I74" s="344"/>
      <c r="J74" s="328"/>
      <c r="K74" s="344"/>
      <c r="L74" s="328"/>
      <c r="M74" s="344"/>
      <c r="N74" s="328"/>
      <c r="O74" s="344"/>
      <c r="Q74" s="135"/>
      <c r="R74" s="136"/>
      <c r="S74" s="135"/>
      <c r="T74" s="135"/>
    </row>
    <row r="75" spans="2:20" s="137" customFormat="1" ht="15" customHeight="1" x14ac:dyDescent="0.25">
      <c r="B75" s="438" t="s">
        <v>432</v>
      </c>
      <c r="C75" s="417" t="s">
        <v>433</v>
      </c>
      <c r="D75" s="413" t="s">
        <v>233</v>
      </c>
      <c r="E75" s="414">
        <v>32</v>
      </c>
      <c r="F75" s="328"/>
      <c r="G75" s="344">
        <v>32</v>
      </c>
      <c r="H75" s="328"/>
      <c r="I75" s="344"/>
      <c r="J75" s="328"/>
      <c r="K75" s="345"/>
      <c r="L75" s="328"/>
      <c r="M75" s="327">
        <f t="shared" ref="M75:M76" si="22">+G75+I75+K75</f>
        <v>32</v>
      </c>
      <c r="N75" s="328"/>
      <c r="O75" s="327">
        <f t="shared" ref="O75:O76" si="23">+E75-M75</f>
        <v>0</v>
      </c>
      <c r="Q75" s="135"/>
      <c r="R75" s="136"/>
      <c r="S75" s="135"/>
      <c r="T75" s="135"/>
    </row>
    <row r="76" spans="2:20" s="105" customFormat="1" ht="15" customHeight="1" x14ac:dyDescent="0.25">
      <c r="B76" s="438" t="s">
        <v>434</v>
      </c>
      <c r="C76" s="417" t="s">
        <v>435</v>
      </c>
      <c r="D76" s="413" t="s">
        <v>233</v>
      </c>
      <c r="E76" s="414">
        <v>32</v>
      </c>
      <c r="F76" s="124"/>
      <c r="G76" s="344">
        <v>32</v>
      </c>
      <c r="H76" s="125"/>
      <c r="I76" s="344"/>
      <c r="J76" s="125"/>
      <c r="K76" s="125"/>
      <c r="L76" s="125"/>
      <c r="M76" s="327">
        <f t="shared" si="22"/>
        <v>32</v>
      </c>
      <c r="N76" s="328"/>
      <c r="O76" s="327">
        <f t="shared" si="23"/>
        <v>0</v>
      </c>
      <c r="P76" s="126"/>
      <c r="Q76" s="118"/>
      <c r="R76" s="119"/>
      <c r="S76" s="118"/>
    </row>
    <row r="77" spans="2:20" ht="15" customHeight="1" x14ac:dyDescent="0.25">
      <c r="B77" s="436" t="s">
        <v>436</v>
      </c>
      <c r="C77" s="415" t="s">
        <v>437</v>
      </c>
      <c r="D77" s="421"/>
      <c r="E77" s="422"/>
      <c r="G77" s="451"/>
      <c r="I77" s="451"/>
      <c r="M77" s="447"/>
      <c r="O77" s="447"/>
      <c r="Q77" s="118"/>
      <c r="R77" s="119"/>
      <c r="S77" s="118"/>
    </row>
    <row r="78" spans="2:20" ht="15" customHeight="1" x14ac:dyDescent="0.25">
      <c r="B78" s="437" t="s">
        <v>438</v>
      </c>
      <c r="C78" s="416" t="s">
        <v>439</v>
      </c>
      <c r="D78" s="419"/>
      <c r="E78" s="420"/>
      <c r="G78" s="451"/>
      <c r="I78" s="451"/>
      <c r="M78" s="447"/>
      <c r="O78" s="447"/>
    </row>
    <row r="79" spans="2:20" s="105" customFormat="1" ht="15" customHeight="1" x14ac:dyDescent="0.25">
      <c r="B79" s="438" t="s">
        <v>440</v>
      </c>
      <c r="C79" s="417" t="s">
        <v>441</v>
      </c>
      <c r="D79" s="413" t="s">
        <v>234</v>
      </c>
      <c r="E79" s="414">
        <v>43.2</v>
      </c>
      <c r="F79" s="119"/>
      <c r="G79" s="451"/>
      <c r="H79" s="127"/>
      <c r="I79" s="451">
        <v>43.2</v>
      </c>
      <c r="J79" s="127"/>
      <c r="K79" s="127"/>
      <c r="L79" s="127"/>
      <c r="M79" s="327">
        <f t="shared" ref="M79:M83" si="24">+G79+I79+K79</f>
        <v>43.2</v>
      </c>
      <c r="N79" s="328"/>
      <c r="O79" s="327">
        <f t="shared" ref="O79:O83" si="25">+E79-M79</f>
        <v>0</v>
      </c>
      <c r="P79" s="103"/>
      <c r="Q79" s="103"/>
      <c r="R79" s="127"/>
      <c r="S79" s="104"/>
    </row>
    <row r="80" spans="2:20" s="105" customFormat="1" ht="15" customHeight="1" x14ac:dyDescent="0.25">
      <c r="B80" s="438" t="s">
        <v>442</v>
      </c>
      <c r="C80" s="417" t="s">
        <v>231</v>
      </c>
      <c r="D80" s="413" t="s">
        <v>234</v>
      </c>
      <c r="E80" s="414">
        <v>5.5</v>
      </c>
      <c r="F80" s="119"/>
      <c r="G80" s="451"/>
      <c r="H80" s="103"/>
      <c r="I80" s="451">
        <v>5.5</v>
      </c>
      <c r="J80" s="103"/>
      <c r="K80" s="103"/>
      <c r="L80" s="103"/>
      <c r="M80" s="327">
        <f t="shared" si="24"/>
        <v>5.5</v>
      </c>
      <c r="N80" s="328"/>
      <c r="O80" s="327">
        <f t="shared" si="25"/>
        <v>0</v>
      </c>
      <c r="P80" s="103"/>
      <c r="Q80" s="103"/>
      <c r="R80" s="103"/>
      <c r="S80" s="104"/>
    </row>
    <row r="81" spans="2:19" s="105" customFormat="1" ht="15" customHeight="1" x14ac:dyDescent="0.25">
      <c r="B81" s="438" t="s">
        <v>443</v>
      </c>
      <c r="C81" s="417" t="s">
        <v>444</v>
      </c>
      <c r="D81" s="413" t="s">
        <v>234</v>
      </c>
      <c r="E81" s="414">
        <v>47.13</v>
      </c>
      <c r="F81" s="119"/>
      <c r="G81" s="451"/>
      <c r="H81" s="103"/>
      <c r="I81" s="451">
        <v>47.13</v>
      </c>
      <c r="J81" s="103"/>
      <c r="K81" s="103"/>
      <c r="L81" s="103"/>
      <c r="M81" s="327">
        <f t="shared" si="24"/>
        <v>47.13</v>
      </c>
      <c r="N81" s="328"/>
      <c r="O81" s="327">
        <f t="shared" si="25"/>
        <v>0</v>
      </c>
      <c r="P81" s="103"/>
      <c r="Q81" s="103"/>
      <c r="R81" s="103"/>
      <c r="S81" s="104"/>
    </row>
    <row r="82" spans="2:19" ht="15" customHeight="1" x14ac:dyDescent="0.25">
      <c r="B82" s="438" t="s">
        <v>445</v>
      </c>
      <c r="C82" s="418" t="s">
        <v>349</v>
      </c>
      <c r="D82" s="413" t="s">
        <v>234</v>
      </c>
      <c r="E82" s="414">
        <v>47.13</v>
      </c>
      <c r="G82" s="451"/>
      <c r="I82" s="451">
        <v>47.13</v>
      </c>
      <c r="M82" s="327">
        <f t="shared" si="24"/>
        <v>47.13</v>
      </c>
      <c r="N82" s="328"/>
      <c r="O82" s="327">
        <f t="shared" si="25"/>
        <v>0</v>
      </c>
    </row>
    <row r="83" spans="2:19" ht="15" customHeight="1" x14ac:dyDescent="0.25">
      <c r="B83" s="438" t="s">
        <v>446</v>
      </c>
      <c r="C83" s="417" t="s">
        <v>447</v>
      </c>
      <c r="D83" s="413" t="s">
        <v>101</v>
      </c>
      <c r="E83" s="414">
        <v>115.95</v>
      </c>
      <c r="G83" s="451"/>
      <c r="I83" s="451">
        <v>115.95</v>
      </c>
      <c r="M83" s="327">
        <f t="shared" si="24"/>
        <v>115.95</v>
      </c>
      <c r="N83" s="328"/>
      <c r="O83" s="327">
        <f t="shared" si="25"/>
        <v>0</v>
      </c>
    </row>
    <row r="84" spans="2:19" ht="15" customHeight="1" x14ac:dyDescent="0.25">
      <c r="B84" s="437" t="s">
        <v>448</v>
      </c>
      <c r="C84" s="416" t="s">
        <v>449</v>
      </c>
      <c r="D84" s="419"/>
      <c r="E84" s="420"/>
      <c r="G84" s="451"/>
      <c r="I84" s="451"/>
      <c r="M84" s="447"/>
      <c r="O84" s="447"/>
    </row>
    <row r="85" spans="2:19" ht="15" customHeight="1" x14ac:dyDescent="0.25">
      <c r="B85" s="438" t="s">
        <v>450</v>
      </c>
      <c r="C85" s="417" t="s">
        <v>451</v>
      </c>
      <c r="D85" s="413" t="s">
        <v>101</v>
      </c>
      <c r="E85" s="414">
        <v>5.76</v>
      </c>
      <c r="G85" s="451"/>
      <c r="I85" s="451">
        <v>5.76</v>
      </c>
      <c r="M85" s="327">
        <f t="shared" ref="M85:M88" si="26">+G85+I85+K85</f>
        <v>5.76</v>
      </c>
      <c r="N85" s="328"/>
      <c r="O85" s="327">
        <f t="shared" ref="O85:O88" si="27">+E85-M85</f>
        <v>0</v>
      </c>
    </row>
    <row r="86" spans="2:19" ht="15" customHeight="1" x14ac:dyDescent="0.25">
      <c r="B86" s="438" t="s">
        <v>452</v>
      </c>
      <c r="C86" s="417" t="s">
        <v>453</v>
      </c>
      <c r="D86" s="413" t="s">
        <v>145</v>
      </c>
      <c r="E86" s="414">
        <v>386</v>
      </c>
      <c r="G86" s="451"/>
      <c r="I86" s="451">
        <v>386</v>
      </c>
      <c r="M86" s="327">
        <f t="shared" si="26"/>
        <v>386</v>
      </c>
      <c r="N86" s="328"/>
      <c r="O86" s="327">
        <f t="shared" si="27"/>
        <v>0</v>
      </c>
    </row>
    <row r="87" spans="2:19" ht="15" customHeight="1" x14ac:dyDescent="0.25">
      <c r="B87" s="438" t="s">
        <v>454</v>
      </c>
      <c r="C87" s="417" t="s">
        <v>455</v>
      </c>
      <c r="D87" s="413" t="s">
        <v>101</v>
      </c>
      <c r="E87" s="414">
        <v>115.8</v>
      </c>
      <c r="G87" s="451"/>
      <c r="I87" s="451">
        <v>115.8</v>
      </c>
      <c r="M87" s="327">
        <f t="shared" si="26"/>
        <v>115.8</v>
      </c>
      <c r="N87" s="328"/>
      <c r="O87" s="327">
        <f t="shared" si="27"/>
        <v>0</v>
      </c>
    </row>
    <row r="88" spans="2:19" ht="15" customHeight="1" x14ac:dyDescent="0.25">
      <c r="B88" s="438" t="s">
        <v>456</v>
      </c>
      <c r="C88" s="417" t="s">
        <v>457</v>
      </c>
      <c r="D88" s="423" t="s">
        <v>145</v>
      </c>
      <c r="E88" s="424">
        <v>38.5</v>
      </c>
      <c r="G88" s="451"/>
      <c r="I88" s="451">
        <v>38.5</v>
      </c>
      <c r="M88" s="327">
        <f t="shared" si="26"/>
        <v>38.5</v>
      </c>
      <c r="N88" s="328"/>
      <c r="O88" s="327">
        <f t="shared" si="27"/>
        <v>0</v>
      </c>
    </row>
    <row r="89" spans="2:19" ht="15" customHeight="1" x14ac:dyDescent="0.25">
      <c r="B89" s="436" t="s">
        <v>458</v>
      </c>
      <c r="C89" s="415" t="s">
        <v>459</v>
      </c>
      <c r="D89" s="421"/>
      <c r="E89" s="422"/>
      <c r="G89" s="451"/>
      <c r="I89" s="451"/>
      <c r="M89" s="447"/>
      <c r="O89" s="447"/>
    </row>
    <row r="90" spans="2:19" ht="15" customHeight="1" x14ac:dyDescent="0.25">
      <c r="B90" s="437" t="s">
        <v>460</v>
      </c>
      <c r="C90" s="416" t="s">
        <v>461</v>
      </c>
      <c r="D90" s="419"/>
      <c r="E90" s="420"/>
      <c r="G90" s="451"/>
      <c r="I90" s="451"/>
      <c r="M90" s="447"/>
      <c r="O90" s="447"/>
    </row>
    <row r="91" spans="2:19" ht="15" customHeight="1" x14ac:dyDescent="0.25">
      <c r="B91" s="438" t="s">
        <v>462</v>
      </c>
      <c r="C91" s="417" t="s">
        <v>441</v>
      </c>
      <c r="D91" s="413" t="s">
        <v>234</v>
      </c>
      <c r="E91" s="414">
        <v>9</v>
      </c>
      <c r="G91" s="451"/>
      <c r="I91" s="451">
        <v>9</v>
      </c>
      <c r="M91" s="327">
        <f t="shared" ref="M91:M94" si="28">+G91+I91+K91</f>
        <v>9</v>
      </c>
      <c r="N91" s="328"/>
      <c r="O91" s="327">
        <f t="shared" ref="O91:O94" si="29">+E91-M91</f>
        <v>0</v>
      </c>
    </row>
    <row r="92" spans="2:19" ht="15" customHeight="1" x14ac:dyDescent="0.25">
      <c r="B92" s="438" t="s">
        <v>463</v>
      </c>
      <c r="C92" s="417" t="s">
        <v>347</v>
      </c>
      <c r="D92" s="413" t="s">
        <v>234</v>
      </c>
      <c r="E92" s="414">
        <v>10.75</v>
      </c>
      <c r="G92" s="451"/>
      <c r="I92" s="451">
        <v>10.75</v>
      </c>
      <c r="M92" s="327">
        <f t="shared" si="28"/>
        <v>10.75</v>
      </c>
      <c r="N92" s="328"/>
      <c r="O92" s="327">
        <f t="shared" si="29"/>
        <v>0</v>
      </c>
    </row>
    <row r="93" spans="2:19" ht="15" customHeight="1" x14ac:dyDescent="0.25">
      <c r="B93" s="438" t="s">
        <v>464</v>
      </c>
      <c r="C93" s="417" t="s">
        <v>444</v>
      </c>
      <c r="D93" s="413" t="s">
        <v>234</v>
      </c>
      <c r="E93" s="414">
        <v>8.75</v>
      </c>
      <c r="G93" s="451"/>
      <c r="I93" s="451">
        <v>8.75</v>
      </c>
      <c r="M93" s="327">
        <f t="shared" si="28"/>
        <v>8.75</v>
      </c>
      <c r="N93" s="328"/>
      <c r="O93" s="327">
        <f t="shared" si="29"/>
        <v>0</v>
      </c>
    </row>
    <row r="94" spans="2:19" ht="15" customHeight="1" x14ac:dyDescent="0.25">
      <c r="B94" s="438" t="s">
        <v>465</v>
      </c>
      <c r="C94" s="418" t="s">
        <v>349</v>
      </c>
      <c r="D94" s="413" t="s">
        <v>234</v>
      </c>
      <c r="E94" s="414">
        <v>8.75</v>
      </c>
      <c r="G94" s="451"/>
      <c r="I94" s="451">
        <v>8.75</v>
      </c>
      <c r="M94" s="327">
        <f t="shared" si="28"/>
        <v>8.75</v>
      </c>
      <c r="N94" s="328"/>
      <c r="O94" s="327">
        <f t="shared" si="29"/>
        <v>0</v>
      </c>
    </row>
    <row r="95" spans="2:19" ht="15" customHeight="1" x14ac:dyDescent="0.25">
      <c r="B95" s="437" t="s">
        <v>466</v>
      </c>
      <c r="C95" s="416" t="s">
        <v>467</v>
      </c>
      <c r="D95" s="419"/>
      <c r="E95" s="420"/>
      <c r="G95" s="451"/>
      <c r="I95" s="451"/>
      <c r="M95" s="447"/>
      <c r="O95" s="447"/>
    </row>
    <row r="96" spans="2:19" ht="15" customHeight="1" x14ac:dyDescent="0.25">
      <c r="B96" s="438" t="s">
        <v>468</v>
      </c>
      <c r="C96" s="417" t="s">
        <v>469</v>
      </c>
      <c r="D96" s="413" t="s">
        <v>102</v>
      </c>
      <c r="E96" s="414">
        <v>653.79999999999995</v>
      </c>
      <c r="G96" s="451"/>
      <c r="I96" s="451">
        <v>653.79999999999995</v>
      </c>
      <c r="M96" s="327">
        <f t="shared" ref="M96:M100" si="30">+G96+I96+K96</f>
        <v>653.79999999999995</v>
      </c>
      <c r="N96" s="328"/>
      <c r="O96" s="327">
        <f t="shared" ref="O96:O100" si="31">+E96-M96</f>
        <v>0</v>
      </c>
    </row>
    <row r="97" spans="2:15" ht="15" customHeight="1" x14ac:dyDescent="0.25">
      <c r="B97" s="438" t="s">
        <v>470</v>
      </c>
      <c r="C97" s="417" t="s">
        <v>471</v>
      </c>
      <c r="D97" s="413" t="s">
        <v>101</v>
      </c>
      <c r="E97" s="414">
        <v>251.02</v>
      </c>
      <c r="G97" s="451"/>
      <c r="I97" s="451">
        <v>251.02</v>
      </c>
      <c r="M97" s="327">
        <f t="shared" si="30"/>
        <v>251.02</v>
      </c>
      <c r="N97" s="328"/>
      <c r="O97" s="327">
        <f t="shared" si="31"/>
        <v>0</v>
      </c>
    </row>
    <row r="98" spans="2:15" ht="15" customHeight="1" x14ac:dyDescent="0.25">
      <c r="B98" s="438" t="s">
        <v>472</v>
      </c>
      <c r="C98" s="418" t="s">
        <v>473</v>
      </c>
      <c r="D98" s="413" t="s">
        <v>234</v>
      </c>
      <c r="E98" s="414">
        <v>32.94</v>
      </c>
      <c r="G98" s="451"/>
      <c r="I98" s="451">
        <v>32.94</v>
      </c>
      <c r="M98" s="327">
        <f t="shared" si="30"/>
        <v>32.94</v>
      </c>
      <c r="N98" s="328"/>
      <c r="O98" s="327">
        <f t="shared" si="31"/>
        <v>0</v>
      </c>
    </row>
    <row r="99" spans="2:15" ht="15" customHeight="1" x14ac:dyDescent="0.25">
      <c r="B99" s="438" t="s">
        <v>474</v>
      </c>
      <c r="C99" s="417" t="s">
        <v>365</v>
      </c>
      <c r="D99" s="413" t="s">
        <v>101</v>
      </c>
      <c r="E99" s="414">
        <v>219.61</v>
      </c>
      <c r="G99" s="451"/>
      <c r="I99" s="451">
        <v>219.61</v>
      </c>
      <c r="M99" s="327">
        <f t="shared" si="30"/>
        <v>219.61</v>
      </c>
      <c r="N99" s="328"/>
      <c r="O99" s="327">
        <f t="shared" si="31"/>
        <v>0</v>
      </c>
    </row>
    <row r="100" spans="2:15" ht="15" customHeight="1" x14ac:dyDescent="0.25">
      <c r="B100" s="438" t="s">
        <v>475</v>
      </c>
      <c r="C100" s="417" t="s">
        <v>411</v>
      </c>
      <c r="D100" s="413" t="s">
        <v>145</v>
      </c>
      <c r="E100" s="414">
        <v>6</v>
      </c>
      <c r="G100" s="451"/>
      <c r="I100" s="451">
        <v>6</v>
      </c>
      <c r="M100" s="327">
        <f t="shared" si="30"/>
        <v>6</v>
      </c>
      <c r="N100" s="328"/>
      <c r="O100" s="327">
        <f t="shared" si="31"/>
        <v>0</v>
      </c>
    </row>
    <row r="101" spans="2:15" ht="15" customHeight="1" x14ac:dyDescent="0.25">
      <c r="B101" s="436" t="s">
        <v>476</v>
      </c>
      <c r="C101" s="415" t="s">
        <v>477</v>
      </c>
      <c r="D101" s="421"/>
      <c r="E101" s="422"/>
      <c r="G101" s="451"/>
      <c r="I101" s="451"/>
      <c r="M101" s="447"/>
      <c r="O101" s="447"/>
    </row>
    <row r="102" spans="2:15" ht="15" customHeight="1" x14ac:dyDescent="0.25">
      <c r="B102" s="437" t="s">
        <v>478</v>
      </c>
      <c r="C102" s="425" t="s">
        <v>479</v>
      </c>
      <c r="D102" s="419"/>
      <c r="E102" s="420"/>
      <c r="G102" s="451"/>
      <c r="I102" s="451"/>
      <c r="M102" s="447"/>
      <c r="O102" s="447"/>
    </row>
    <row r="103" spans="2:15" ht="15" customHeight="1" x14ac:dyDescent="0.25">
      <c r="B103" s="438" t="s">
        <v>480</v>
      </c>
      <c r="C103" s="417" t="s">
        <v>229</v>
      </c>
      <c r="D103" s="413" t="s">
        <v>101</v>
      </c>
      <c r="E103" s="414">
        <v>20.079999999999998</v>
      </c>
      <c r="G103" s="451"/>
      <c r="I103" s="451">
        <v>20.079999999999998</v>
      </c>
      <c r="M103" s="327">
        <f t="shared" ref="M103:M104" si="32">+G103+I103+K103</f>
        <v>20.079999999999998</v>
      </c>
      <c r="N103" s="328"/>
      <c r="O103" s="327">
        <f t="shared" ref="O103:O104" si="33">+E103-M103</f>
        <v>0</v>
      </c>
    </row>
    <row r="104" spans="2:15" ht="15" customHeight="1" x14ac:dyDescent="0.25">
      <c r="B104" s="438" t="s">
        <v>481</v>
      </c>
      <c r="C104" s="417" t="s">
        <v>482</v>
      </c>
      <c r="D104" s="413" t="s">
        <v>101</v>
      </c>
      <c r="E104" s="414">
        <v>20.079999999999998</v>
      </c>
      <c r="G104" s="451"/>
      <c r="I104" s="451">
        <v>20.079999999999998</v>
      </c>
      <c r="M104" s="327">
        <f t="shared" si="32"/>
        <v>20.079999999999998</v>
      </c>
      <c r="N104" s="328"/>
      <c r="O104" s="327">
        <f t="shared" si="33"/>
        <v>0</v>
      </c>
    </row>
    <row r="105" spans="2:15" ht="15" customHeight="1" x14ac:dyDescent="0.25">
      <c r="B105" s="437" t="s">
        <v>483</v>
      </c>
      <c r="C105" s="416" t="s">
        <v>226</v>
      </c>
      <c r="D105" s="419"/>
      <c r="E105" s="420"/>
      <c r="G105" s="451"/>
      <c r="I105" s="451"/>
      <c r="M105" s="447"/>
      <c r="O105" s="447"/>
    </row>
    <row r="106" spans="2:15" ht="15" customHeight="1" x14ac:dyDescent="0.25">
      <c r="B106" s="438" t="s">
        <v>484</v>
      </c>
      <c r="C106" s="417" t="s">
        <v>392</v>
      </c>
      <c r="D106" s="413" t="s">
        <v>234</v>
      </c>
      <c r="E106" s="414">
        <v>22.39</v>
      </c>
      <c r="G106" s="451"/>
      <c r="I106" s="451">
        <v>22.39</v>
      </c>
      <c r="M106" s="327">
        <f t="shared" ref="M106:M108" si="34">+G106+I106+K106</f>
        <v>22.39</v>
      </c>
      <c r="N106" s="328"/>
      <c r="O106" s="327">
        <f t="shared" ref="O106:O108" si="35">+E106-M106</f>
        <v>0</v>
      </c>
    </row>
    <row r="107" spans="2:15" ht="15" customHeight="1" x14ac:dyDescent="0.25">
      <c r="B107" s="438" t="s">
        <v>485</v>
      </c>
      <c r="C107" s="417" t="s">
        <v>486</v>
      </c>
      <c r="D107" s="413" t="s">
        <v>234</v>
      </c>
      <c r="E107" s="414">
        <v>14.57</v>
      </c>
      <c r="G107" s="451"/>
      <c r="I107" s="451">
        <v>14.57</v>
      </c>
      <c r="M107" s="327">
        <f t="shared" si="34"/>
        <v>14.57</v>
      </c>
      <c r="N107" s="328"/>
      <c r="O107" s="327">
        <f t="shared" si="35"/>
        <v>0</v>
      </c>
    </row>
    <row r="108" spans="2:15" ht="15" customHeight="1" x14ac:dyDescent="0.25">
      <c r="B108" s="438" t="s">
        <v>487</v>
      </c>
      <c r="C108" s="418" t="s">
        <v>349</v>
      </c>
      <c r="D108" s="413" t="s">
        <v>234</v>
      </c>
      <c r="E108" s="414">
        <v>9.7799999999999994</v>
      </c>
      <c r="G108" s="451"/>
      <c r="I108" s="451">
        <v>9.7799999999999994</v>
      </c>
      <c r="M108" s="327">
        <f t="shared" si="34"/>
        <v>9.7799999999999994</v>
      </c>
      <c r="N108" s="328"/>
      <c r="O108" s="327">
        <f t="shared" si="35"/>
        <v>0</v>
      </c>
    </row>
    <row r="109" spans="2:15" ht="15" customHeight="1" x14ac:dyDescent="0.25">
      <c r="B109" s="437" t="s">
        <v>488</v>
      </c>
      <c r="C109" s="416" t="s">
        <v>227</v>
      </c>
      <c r="D109" s="419"/>
      <c r="E109" s="420"/>
      <c r="G109" s="451"/>
      <c r="I109" s="451"/>
      <c r="M109" s="447"/>
      <c r="O109" s="447"/>
    </row>
    <row r="110" spans="2:15" ht="15" customHeight="1" x14ac:dyDescent="0.25">
      <c r="B110" s="438" t="s">
        <v>489</v>
      </c>
      <c r="C110" s="417" t="s">
        <v>490</v>
      </c>
      <c r="D110" s="413" t="s">
        <v>101</v>
      </c>
      <c r="E110" s="414">
        <v>20.079999999999998</v>
      </c>
      <c r="G110" s="451"/>
      <c r="I110" s="451">
        <v>20.079999999999998</v>
      </c>
      <c r="M110" s="327">
        <f>+G110+I110+K110</f>
        <v>20.079999999999998</v>
      </c>
      <c r="N110" s="328"/>
      <c r="O110" s="327">
        <f>+E110-M110</f>
        <v>0</v>
      </c>
    </row>
    <row r="111" spans="2:15" ht="15" customHeight="1" x14ac:dyDescent="0.25">
      <c r="B111" s="437" t="s">
        <v>491</v>
      </c>
      <c r="C111" s="416" t="s">
        <v>228</v>
      </c>
      <c r="D111" s="419"/>
      <c r="E111" s="420"/>
      <c r="G111" s="451"/>
      <c r="I111" s="451"/>
      <c r="M111" s="447"/>
      <c r="O111" s="447"/>
    </row>
    <row r="112" spans="2:15" ht="15" customHeight="1" x14ac:dyDescent="0.25">
      <c r="B112" s="439" t="s">
        <v>492</v>
      </c>
      <c r="C112" s="426" t="s">
        <v>232</v>
      </c>
      <c r="D112" s="427"/>
      <c r="E112" s="428"/>
      <c r="G112" s="451"/>
      <c r="I112" s="451"/>
      <c r="M112" s="447"/>
      <c r="O112" s="447"/>
    </row>
    <row r="113" spans="2:15" ht="15" customHeight="1" x14ac:dyDescent="0.25">
      <c r="B113" s="438" t="s">
        <v>493</v>
      </c>
      <c r="C113" s="417" t="s">
        <v>469</v>
      </c>
      <c r="D113" s="413" t="s">
        <v>102</v>
      </c>
      <c r="E113" s="414">
        <v>400.33</v>
      </c>
      <c r="G113" s="451"/>
      <c r="I113" s="451">
        <v>400.33</v>
      </c>
      <c r="M113" s="327">
        <f t="shared" ref="M113:M116" si="36">+G113+I113+K113</f>
        <v>400.33</v>
      </c>
      <c r="N113" s="328"/>
      <c r="O113" s="327">
        <f t="shared" ref="O113:O116" si="37">+E113-M113</f>
        <v>0</v>
      </c>
    </row>
    <row r="114" spans="2:15" ht="15" customHeight="1" x14ac:dyDescent="0.25">
      <c r="B114" s="438" t="s">
        <v>494</v>
      </c>
      <c r="C114" s="417" t="s">
        <v>495</v>
      </c>
      <c r="D114" s="413" t="s">
        <v>101</v>
      </c>
      <c r="E114" s="414">
        <v>14.88</v>
      </c>
      <c r="G114" s="451"/>
      <c r="I114" s="451">
        <v>14.88</v>
      </c>
      <c r="M114" s="327">
        <f t="shared" si="36"/>
        <v>14.88</v>
      </c>
      <c r="N114" s="328"/>
      <c r="O114" s="327">
        <f t="shared" si="37"/>
        <v>0</v>
      </c>
    </row>
    <row r="115" spans="2:15" ht="15" customHeight="1" x14ac:dyDescent="0.25">
      <c r="B115" s="438" t="s">
        <v>496</v>
      </c>
      <c r="C115" s="417" t="s">
        <v>497</v>
      </c>
      <c r="D115" s="413" t="s">
        <v>234</v>
      </c>
      <c r="E115" s="414">
        <v>6.01</v>
      </c>
      <c r="G115" s="451"/>
      <c r="I115" s="451">
        <v>6.01</v>
      </c>
      <c r="M115" s="327">
        <f t="shared" si="36"/>
        <v>6.01</v>
      </c>
      <c r="N115" s="328"/>
      <c r="O115" s="327">
        <f t="shared" si="37"/>
        <v>0</v>
      </c>
    </row>
    <row r="116" spans="2:15" ht="15" customHeight="1" x14ac:dyDescent="0.25">
      <c r="B116" s="438" t="s">
        <v>498</v>
      </c>
      <c r="C116" s="417" t="s">
        <v>409</v>
      </c>
      <c r="D116" s="413" t="s">
        <v>101</v>
      </c>
      <c r="E116" s="414">
        <v>20.079999999999998</v>
      </c>
      <c r="G116" s="451"/>
      <c r="I116" s="451">
        <v>20.079999999999998</v>
      </c>
      <c r="M116" s="327">
        <f t="shared" si="36"/>
        <v>20.079999999999998</v>
      </c>
      <c r="N116" s="328"/>
      <c r="O116" s="327">
        <f t="shared" si="37"/>
        <v>0</v>
      </c>
    </row>
    <row r="117" spans="2:15" ht="15" customHeight="1" x14ac:dyDescent="0.25">
      <c r="B117" s="439" t="s">
        <v>499</v>
      </c>
      <c r="C117" s="426" t="s">
        <v>500</v>
      </c>
      <c r="D117" s="427"/>
      <c r="E117" s="428"/>
      <c r="G117" s="451"/>
      <c r="I117" s="451"/>
      <c r="M117" s="447"/>
      <c r="O117" s="447"/>
    </row>
    <row r="118" spans="2:15" ht="15" customHeight="1" x14ac:dyDescent="0.25">
      <c r="B118" s="438" t="s">
        <v>501</v>
      </c>
      <c r="C118" s="417" t="s">
        <v>469</v>
      </c>
      <c r="D118" s="413" t="s">
        <v>102</v>
      </c>
      <c r="E118" s="414">
        <v>175.55</v>
      </c>
      <c r="G118" s="451"/>
      <c r="I118" s="451">
        <v>175.55</v>
      </c>
      <c r="M118" s="327">
        <f t="shared" ref="M118:M121" si="38">+G118+I118+K118</f>
        <v>175.55</v>
      </c>
      <c r="N118" s="328"/>
      <c r="O118" s="327">
        <f t="shared" ref="O118:O121" si="39">+E118-M118</f>
        <v>0</v>
      </c>
    </row>
    <row r="119" spans="2:15" ht="15" customHeight="1" x14ac:dyDescent="0.25">
      <c r="B119" s="438" t="s">
        <v>502</v>
      </c>
      <c r="C119" s="417" t="s">
        <v>503</v>
      </c>
      <c r="D119" s="413" t="s">
        <v>101</v>
      </c>
      <c r="E119" s="414">
        <v>53.48</v>
      </c>
      <c r="G119" s="451"/>
      <c r="I119" s="451">
        <v>53.48</v>
      </c>
      <c r="M119" s="327">
        <f t="shared" si="38"/>
        <v>53.48</v>
      </c>
      <c r="N119" s="328"/>
      <c r="O119" s="327">
        <f t="shared" si="39"/>
        <v>0</v>
      </c>
    </row>
    <row r="120" spans="2:15" ht="15" customHeight="1" x14ac:dyDescent="0.25">
      <c r="B120" s="438" t="s">
        <v>504</v>
      </c>
      <c r="C120" s="417" t="s">
        <v>505</v>
      </c>
      <c r="D120" s="413" t="s">
        <v>234</v>
      </c>
      <c r="E120" s="414">
        <v>3.82</v>
      </c>
      <c r="G120" s="451"/>
      <c r="I120" s="451">
        <v>3.82</v>
      </c>
      <c r="M120" s="327">
        <f t="shared" si="38"/>
        <v>3.82</v>
      </c>
      <c r="N120" s="328"/>
      <c r="O120" s="327">
        <f t="shared" si="39"/>
        <v>0</v>
      </c>
    </row>
    <row r="121" spans="2:15" ht="15" customHeight="1" x14ac:dyDescent="0.25">
      <c r="B121" s="438" t="s">
        <v>506</v>
      </c>
      <c r="C121" s="417" t="s">
        <v>409</v>
      </c>
      <c r="D121" s="413" t="s">
        <v>101</v>
      </c>
      <c r="E121" s="414">
        <v>50.96</v>
      </c>
      <c r="G121" s="451"/>
      <c r="I121" s="451">
        <v>50.96</v>
      </c>
      <c r="M121" s="327">
        <f t="shared" si="38"/>
        <v>50.96</v>
      </c>
      <c r="N121" s="328"/>
      <c r="O121" s="327">
        <f t="shared" si="39"/>
        <v>0</v>
      </c>
    </row>
    <row r="122" spans="2:15" ht="15" customHeight="1" x14ac:dyDescent="0.25">
      <c r="B122" s="436" t="s">
        <v>507</v>
      </c>
      <c r="C122" s="429" t="s">
        <v>508</v>
      </c>
      <c r="D122" s="430"/>
      <c r="E122" s="431"/>
      <c r="G122" s="451"/>
      <c r="I122" s="451"/>
      <c r="M122" s="447"/>
      <c r="O122" s="447"/>
    </row>
    <row r="123" spans="2:15" ht="15" customHeight="1" x14ac:dyDescent="0.25">
      <c r="B123" s="437" t="s">
        <v>509</v>
      </c>
      <c r="C123" s="416" t="s">
        <v>226</v>
      </c>
      <c r="D123" s="419"/>
      <c r="E123" s="420"/>
      <c r="G123" s="451"/>
      <c r="I123" s="451"/>
      <c r="M123" s="447"/>
      <c r="O123" s="447"/>
    </row>
    <row r="124" spans="2:15" ht="15" customHeight="1" x14ac:dyDescent="0.25">
      <c r="B124" s="438" t="s">
        <v>510</v>
      </c>
      <c r="C124" s="417" t="s">
        <v>511</v>
      </c>
      <c r="D124" s="413" t="s">
        <v>234</v>
      </c>
      <c r="E124" s="414">
        <v>7.58</v>
      </c>
      <c r="G124" s="451">
        <v>7.58</v>
      </c>
      <c r="I124" s="451"/>
      <c r="M124" s="327">
        <f t="shared" ref="M124:M128" si="40">+G124+I124+K124</f>
        <v>7.58</v>
      </c>
      <c r="N124" s="328"/>
      <c r="O124" s="327">
        <f t="shared" ref="O124:O128" si="41">+E124-M124</f>
        <v>0</v>
      </c>
    </row>
    <row r="125" spans="2:15" ht="15" customHeight="1" x14ac:dyDescent="0.25">
      <c r="B125" s="438" t="s">
        <v>512</v>
      </c>
      <c r="C125" s="417" t="s">
        <v>513</v>
      </c>
      <c r="D125" s="413" t="s">
        <v>234</v>
      </c>
      <c r="E125" s="414">
        <v>1.8</v>
      </c>
      <c r="G125" s="451">
        <v>1.8</v>
      </c>
      <c r="I125" s="451"/>
      <c r="M125" s="327">
        <f t="shared" si="40"/>
        <v>1.8</v>
      </c>
      <c r="N125" s="328"/>
      <c r="O125" s="327">
        <f t="shared" si="41"/>
        <v>0</v>
      </c>
    </row>
    <row r="126" spans="2:15" ht="15" customHeight="1" x14ac:dyDescent="0.25">
      <c r="B126" s="438" t="s">
        <v>514</v>
      </c>
      <c r="C126" s="417" t="s">
        <v>515</v>
      </c>
      <c r="D126" s="413" t="s">
        <v>101</v>
      </c>
      <c r="E126" s="414">
        <v>21.66</v>
      </c>
      <c r="G126" s="451">
        <v>21.66</v>
      </c>
      <c r="I126" s="451"/>
      <c r="M126" s="327">
        <f t="shared" si="40"/>
        <v>21.66</v>
      </c>
      <c r="N126" s="328"/>
      <c r="O126" s="327">
        <f t="shared" si="41"/>
        <v>0</v>
      </c>
    </row>
    <row r="127" spans="2:15" ht="15" customHeight="1" x14ac:dyDescent="0.25">
      <c r="B127" s="438" t="s">
        <v>516</v>
      </c>
      <c r="C127" s="418" t="s">
        <v>349</v>
      </c>
      <c r="D127" s="413" t="s">
        <v>234</v>
      </c>
      <c r="E127" s="414">
        <v>9.48</v>
      </c>
      <c r="G127" s="451">
        <v>9.48</v>
      </c>
      <c r="I127" s="451"/>
      <c r="M127" s="327">
        <f t="shared" si="40"/>
        <v>9.48</v>
      </c>
      <c r="N127" s="328"/>
      <c r="O127" s="327">
        <f t="shared" si="41"/>
        <v>0</v>
      </c>
    </row>
    <row r="128" spans="2:15" ht="15" customHeight="1" x14ac:dyDescent="0.25">
      <c r="B128" s="438" t="s">
        <v>517</v>
      </c>
      <c r="C128" s="418" t="s">
        <v>518</v>
      </c>
      <c r="D128" s="413" t="s">
        <v>101</v>
      </c>
      <c r="E128" s="414">
        <v>21.66</v>
      </c>
      <c r="G128" s="451">
        <v>21.66</v>
      </c>
      <c r="I128" s="451"/>
      <c r="M128" s="327">
        <f t="shared" si="40"/>
        <v>21.66</v>
      </c>
      <c r="N128" s="328"/>
      <c r="O128" s="327">
        <f t="shared" si="41"/>
        <v>0</v>
      </c>
    </row>
    <row r="129" spans="2:15" ht="15" customHeight="1" x14ac:dyDescent="0.25">
      <c r="B129" s="437" t="s">
        <v>519</v>
      </c>
      <c r="C129" s="425" t="s">
        <v>227</v>
      </c>
      <c r="D129" s="419"/>
      <c r="E129" s="420"/>
      <c r="G129" s="451"/>
      <c r="I129" s="451"/>
      <c r="M129" s="447"/>
      <c r="O129" s="447"/>
    </row>
    <row r="130" spans="2:15" ht="15" customHeight="1" x14ac:dyDescent="0.25">
      <c r="B130" s="438" t="s">
        <v>520</v>
      </c>
      <c r="C130" s="417" t="s">
        <v>521</v>
      </c>
      <c r="D130" s="413" t="s">
        <v>234</v>
      </c>
      <c r="E130" s="414">
        <v>6.75</v>
      </c>
      <c r="G130" s="451"/>
      <c r="I130" s="451">
        <v>6.75</v>
      </c>
      <c r="M130" s="327">
        <f t="shared" ref="M130:M132" si="42">+G130+I130+K130</f>
        <v>6.75</v>
      </c>
      <c r="N130" s="328"/>
      <c r="O130" s="327">
        <f t="shared" ref="O130:O132" si="43">+E130-M130</f>
        <v>0</v>
      </c>
    </row>
    <row r="131" spans="2:15" ht="15" customHeight="1" x14ac:dyDescent="0.25">
      <c r="B131" s="438" t="s">
        <v>522</v>
      </c>
      <c r="C131" s="417" t="s">
        <v>523</v>
      </c>
      <c r="D131" s="413" t="s">
        <v>101</v>
      </c>
      <c r="E131" s="414">
        <v>5.78</v>
      </c>
      <c r="G131" s="451"/>
      <c r="I131" s="451">
        <v>5.78</v>
      </c>
      <c r="M131" s="327">
        <f t="shared" si="42"/>
        <v>5.78</v>
      </c>
      <c r="N131" s="328"/>
      <c r="O131" s="327">
        <f t="shared" si="43"/>
        <v>0</v>
      </c>
    </row>
    <row r="132" spans="2:15" ht="15" customHeight="1" x14ac:dyDescent="0.25">
      <c r="B132" s="438" t="s">
        <v>524</v>
      </c>
      <c r="C132" s="417" t="s">
        <v>525</v>
      </c>
      <c r="D132" s="413" t="s">
        <v>101</v>
      </c>
      <c r="E132" s="414">
        <v>21.66</v>
      </c>
      <c r="G132" s="451"/>
      <c r="I132" s="451">
        <v>21.66</v>
      </c>
      <c r="M132" s="327">
        <f t="shared" si="42"/>
        <v>21.66</v>
      </c>
      <c r="N132" s="328"/>
      <c r="O132" s="327">
        <f t="shared" si="43"/>
        <v>0</v>
      </c>
    </row>
    <row r="133" spans="2:15" ht="15" customHeight="1" x14ac:dyDescent="0.25">
      <c r="B133" s="436" t="s">
        <v>526</v>
      </c>
      <c r="C133" s="429" t="s">
        <v>527</v>
      </c>
      <c r="D133" s="421"/>
      <c r="E133" s="422"/>
      <c r="G133" s="451"/>
      <c r="I133" s="451"/>
      <c r="M133" s="447"/>
      <c r="O133" s="447"/>
    </row>
    <row r="134" spans="2:15" ht="15" customHeight="1" x14ac:dyDescent="0.25">
      <c r="B134" s="438" t="s">
        <v>528</v>
      </c>
      <c r="C134" s="417" t="s">
        <v>529</v>
      </c>
      <c r="D134" s="413" t="s">
        <v>101</v>
      </c>
      <c r="E134" s="414">
        <v>228.04</v>
      </c>
      <c r="G134" s="451"/>
      <c r="I134" s="451">
        <v>228.04</v>
      </c>
      <c r="M134" s="327">
        <f t="shared" ref="M134:M135" si="44">+G134+I134+K134</f>
        <v>228.04</v>
      </c>
      <c r="N134" s="328"/>
      <c r="O134" s="327">
        <f t="shared" ref="O134:O135" si="45">+E134-M134</f>
        <v>0</v>
      </c>
    </row>
    <row r="135" spans="2:15" ht="15" customHeight="1" x14ac:dyDescent="0.25">
      <c r="B135" s="438" t="s">
        <v>530</v>
      </c>
      <c r="C135" s="417" t="s">
        <v>531</v>
      </c>
      <c r="D135" s="413" t="s">
        <v>101</v>
      </c>
      <c r="E135" s="414">
        <v>228.04</v>
      </c>
      <c r="G135" s="451"/>
      <c r="I135" s="451">
        <v>228.04</v>
      </c>
      <c r="M135" s="327">
        <f t="shared" si="44"/>
        <v>228.04</v>
      </c>
      <c r="N135" s="328"/>
      <c r="O135" s="327">
        <f t="shared" si="45"/>
        <v>0</v>
      </c>
    </row>
    <row r="136" spans="2:15" ht="15" customHeight="1" x14ac:dyDescent="0.25">
      <c r="B136" s="436" t="s">
        <v>532</v>
      </c>
      <c r="C136" s="415" t="s">
        <v>533</v>
      </c>
      <c r="D136" s="421"/>
      <c r="E136" s="422"/>
      <c r="G136" s="451"/>
      <c r="I136" s="451"/>
      <c r="M136" s="447"/>
      <c r="O136" s="447"/>
    </row>
    <row r="137" spans="2:15" ht="15" customHeight="1" x14ac:dyDescent="0.25">
      <c r="B137" s="438" t="s">
        <v>534</v>
      </c>
      <c r="C137" s="418" t="s">
        <v>535</v>
      </c>
      <c r="D137" s="413" t="s">
        <v>233</v>
      </c>
      <c r="E137" s="414">
        <v>40</v>
      </c>
      <c r="G137" s="451"/>
      <c r="I137" s="451">
        <v>40</v>
      </c>
      <c r="M137" s="327">
        <f>+G137+I137+K137</f>
        <v>40</v>
      </c>
      <c r="N137" s="328"/>
      <c r="O137" s="327">
        <f>+E137-M137</f>
        <v>0</v>
      </c>
    </row>
    <row r="138" spans="2:15" ht="15" customHeight="1" x14ac:dyDescent="0.25">
      <c r="B138" s="436" t="s">
        <v>536</v>
      </c>
      <c r="C138" s="415" t="s">
        <v>109</v>
      </c>
      <c r="D138" s="421"/>
      <c r="E138" s="422"/>
      <c r="G138" s="451"/>
      <c r="I138" s="451"/>
      <c r="M138" s="447"/>
      <c r="O138" s="447"/>
    </row>
    <row r="139" spans="2:15" ht="15" customHeight="1" x14ac:dyDescent="0.25">
      <c r="B139" s="438" t="s">
        <v>537</v>
      </c>
      <c r="C139" s="417" t="s">
        <v>538</v>
      </c>
      <c r="D139" s="413" t="s">
        <v>233</v>
      </c>
      <c r="E139" s="414">
        <v>4</v>
      </c>
      <c r="G139" s="451">
        <v>4</v>
      </c>
      <c r="I139" s="451"/>
      <c r="M139" s="327">
        <f>+G139+I139+K139</f>
        <v>4</v>
      </c>
      <c r="N139" s="328"/>
      <c r="O139" s="327">
        <f>+E139-M139</f>
        <v>0</v>
      </c>
    </row>
    <row r="140" spans="2:15" ht="15" customHeight="1" x14ac:dyDescent="0.25">
      <c r="B140" s="436" t="s">
        <v>539</v>
      </c>
      <c r="C140" s="415" t="s">
        <v>540</v>
      </c>
      <c r="D140" s="421"/>
      <c r="E140" s="422"/>
      <c r="G140" s="451"/>
      <c r="I140" s="451"/>
      <c r="M140" s="447"/>
      <c r="O140" s="447"/>
    </row>
    <row r="141" spans="2:15" ht="15" customHeight="1" x14ac:dyDescent="0.25">
      <c r="B141" s="438" t="s">
        <v>541</v>
      </c>
      <c r="C141" s="417" t="s">
        <v>542</v>
      </c>
      <c r="D141" s="413" t="s">
        <v>5</v>
      </c>
      <c r="E141" s="414">
        <v>1</v>
      </c>
      <c r="G141" s="451">
        <v>1</v>
      </c>
      <c r="I141" s="451"/>
      <c r="M141" s="327">
        <f t="shared" ref="M141:M145" si="46">+G141+I141+K141</f>
        <v>1</v>
      </c>
      <c r="N141" s="328"/>
      <c r="O141" s="327">
        <f t="shared" ref="O141:O145" si="47">+E141-M141</f>
        <v>0</v>
      </c>
    </row>
    <row r="142" spans="2:15" ht="15" customHeight="1" x14ac:dyDescent="0.25">
      <c r="B142" s="438" t="s">
        <v>543</v>
      </c>
      <c r="C142" s="417" t="s">
        <v>544</v>
      </c>
      <c r="D142" s="413" t="s">
        <v>5</v>
      </c>
      <c r="E142" s="414">
        <v>1</v>
      </c>
      <c r="G142" s="451">
        <v>1</v>
      </c>
      <c r="I142" s="451"/>
      <c r="M142" s="327">
        <f t="shared" si="46"/>
        <v>1</v>
      </c>
      <c r="N142" s="328"/>
      <c r="O142" s="327">
        <f t="shared" si="47"/>
        <v>0</v>
      </c>
    </row>
    <row r="143" spans="2:15" ht="15" customHeight="1" x14ac:dyDescent="0.25">
      <c r="B143" s="438" t="s">
        <v>545</v>
      </c>
      <c r="C143" s="417" t="s">
        <v>546</v>
      </c>
      <c r="D143" s="413" t="s">
        <v>5</v>
      </c>
      <c r="E143" s="414">
        <v>1</v>
      </c>
      <c r="G143" s="451">
        <v>1</v>
      </c>
      <c r="I143" s="451"/>
      <c r="M143" s="327">
        <f t="shared" si="46"/>
        <v>1</v>
      </c>
      <c r="N143" s="328"/>
      <c r="O143" s="327">
        <f t="shared" si="47"/>
        <v>0</v>
      </c>
    </row>
    <row r="144" spans="2:15" ht="15" customHeight="1" x14ac:dyDescent="0.25">
      <c r="B144" s="438" t="s">
        <v>547</v>
      </c>
      <c r="C144" s="417" t="s">
        <v>548</v>
      </c>
      <c r="D144" s="413" t="s">
        <v>5</v>
      </c>
      <c r="E144" s="414">
        <v>1</v>
      </c>
      <c r="G144" s="451">
        <v>0.3</v>
      </c>
      <c r="I144" s="451">
        <v>0.3</v>
      </c>
      <c r="M144" s="327">
        <f t="shared" si="46"/>
        <v>0.6</v>
      </c>
      <c r="N144" s="328"/>
      <c r="O144" s="327">
        <f t="shared" si="47"/>
        <v>0.4</v>
      </c>
    </row>
    <row r="145" spans="2:15" ht="15" customHeight="1" x14ac:dyDescent="0.25">
      <c r="B145" s="438" t="s">
        <v>549</v>
      </c>
      <c r="C145" s="417" t="s">
        <v>550</v>
      </c>
      <c r="D145" s="413" t="s">
        <v>5</v>
      </c>
      <c r="E145" s="414">
        <v>1</v>
      </c>
      <c r="G145" s="451">
        <v>1</v>
      </c>
      <c r="I145" s="451"/>
      <c r="M145" s="327">
        <f t="shared" si="46"/>
        <v>1</v>
      </c>
      <c r="N145" s="328"/>
      <c r="O145" s="327">
        <f t="shared" si="47"/>
        <v>0</v>
      </c>
    </row>
    <row r="146" spans="2:15" ht="15" customHeight="1" x14ac:dyDescent="0.25">
      <c r="B146" s="436" t="s">
        <v>551</v>
      </c>
      <c r="C146" s="415" t="s">
        <v>552</v>
      </c>
      <c r="D146" s="421"/>
      <c r="E146" s="422"/>
      <c r="G146" s="451"/>
      <c r="I146" s="451"/>
      <c r="M146" s="447"/>
      <c r="O146" s="447"/>
    </row>
    <row r="147" spans="2:15" ht="15" customHeight="1" x14ac:dyDescent="0.25">
      <c r="B147" s="438" t="s">
        <v>553</v>
      </c>
      <c r="C147" s="417" t="s">
        <v>554</v>
      </c>
      <c r="D147" s="413" t="s">
        <v>5</v>
      </c>
      <c r="E147" s="414">
        <v>1</v>
      </c>
      <c r="G147" s="451">
        <v>1</v>
      </c>
      <c r="I147" s="451"/>
      <c r="M147" s="327">
        <f>+G147+I147+K147</f>
        <v>1</v>
      </c>
      <c r="N147" s="328"/>
      <c r="O147" s="327">
        <f>+E147-M147</f>
        <v>0</v>
      </c>
    </row>
    <row r="148" spans="2:15" ht="15" customHeight="1" x14ac:dyDescent="0.25">
      <c r="B148" s="436" t="s">
        <v>555</v>
      </c>
      <c r="C148" s="429" t="s">
        <v>556</v>
      </c>
      <c r="D148" s="421"/>
      <c r="E148" s="422"/>
      <c r="G148" s="451"/>
      <c r="I148" s="451"/>
      <c r="M148" s="447"/>
      <c r="O148" s="447"/>
    </row>
    <row r="149" spans="2:15" ht="15" customHeight="1" x14ac:dyDescent="0.25">
      <c r="B149" s="438" t="s">
        <v>557</v>
      </c>
      <c r="C149" s="417" t="s">
        <v>558</v>
      </c>
      <c r="D149" s="413" t="s">
        <v>5</v>
      </c>
      <c r="E149" s="414">
        <v>1</v>
      </c>
      <c r="G149" s="451">
        <v>1</v>
      </c>
      <c r="I149" s="451"/>
      <c r="M149" s="327">
        <f t="shared" ref="M149:M154" si="48">+G149+I149+K149</f>
        <v>1</v>
      </c>
      <c r="N149" s="328"/>
      <c r="O149" s="327">
        <f t="shared" ref="O149:O154" si="49">+E149-M149</f>
        <v>0</v>
      </c>
    </row>
    <row r="150" spans="2:15" ht="15" customHeight="1" x14ac:dyDescent="0.25">
      <c r="B150" s="438" t="s">
        <v>559</v>
      </c>
      <c r="C150" s="432" t="s">
        <v>560</v>
      </c>
      <c r="D150" s="413" t="s">
        <v>5</v>
      </c>
      <c r="E150" s="414">
        <v>1</v>
      </c>
      <c r="G150" s="451">
        <v>1</v>
      </c>
      <c r="I150" s="451"/>
      <c r="M150" s="327">
        <f t="shared" si="48"/>
        <v>1</v>
      </c>
      <c r="N150" s="328"/>
      <c r="O150" s="327">
        <f t="shared" si="49"/>
        <v>0</v>
      </c>
    </row>
    <row r="151" spans="2:15" ht="15" customHeight="1" x14ac:dyDescent="0.25">
      <c r="B151" s="438" t="s">
        <v>561</v>
      </c>
      <c r="C151" s="417" t="s">
        <v>562</v>
      </c>
      <c r="D151" s="413" t="s">
        <v>563</v>
      </c>
      <c r="E151" s="414">
        <v>1</v>
      </c>
      <c r="G151" s="451">
        <v>0.3</v>
      </c>
      <c r="I151" s="451">
        <v>0.7</v>
      </c>
      <c r="M151" s="327">
        <f t="shared" si="48"/>
        <v>1</v>
      </c>
      <c r="N151" s="328"/>
      <c r="O151" s="327">
        <f t="shared" si="49"/>
        <v>0</v>
      </c>
    </row>
    <row r="152" spans="2:15" ht="15" customHeight="1" x14ac:dyDescent="0.25">
      <c r="B152" s="438" t="s">
        <v>564</v>
      </c>
      <c r="C152" s="417" t="s">
        <v>565</v>
      </c>
      <c r="D152" s="413" t="s">
        <v>563</v>
      </c>
      <c r="E152" s="414">
        <v>1</v>
      </c>
      <c r="G152" s="451">
        <v>0.3</v>
      </c>
      <c r="I152" s="451">
        <v>0.7</v>
      </c>
      <c r="M152" s="327">
        <f t="shared" si="48"/>
        <v>1</v>
      </c>
      <c r="N152" s="328"/>
      <c r="O152" s="327">
        <f t="shared" si="49"/>
        <v>0</v>
      </c>
    </row>
    <row r="153" spans="2:15" ht="15" customHeight="1" x14ac:dyDescent="0.25">
      <c r="B153" s="438" t="s">
        <v>566</v>
      </c>
      <c r="C153" s="417" t="s">
        <v>567</v>
      </c>
      <c r="D153" s="413" t="s">
        <v>101</v>
      </c>
      <c r="E153" s="414">
        <v>1932.21</v>
      </c>
      <c r="G153" s="451">
        <v>1932.21</v>
      </c>
      <c r="I153" s="451"/>
      <c r="M153" s="327">
        <f t="shared" si="48"/>
        <v>1932.21</v>
      </c>
      <c r="N153" s="328"/>
      <c r="O153" s="327">
        <f t="shared" si="49"/>
        <v>0</v>
      </c>
    </row>
    <row r="154" spans="2:15" ht="15" customHeight="1" x14ac:dyDescent="0.25">
      <c r="B154" s="440" t="s">
        <v>568</v>
      </c>
      <c r="C154" s="433" t="s">
        <v>569</v>
      </c>
      <c r="D154" s="434" t="s">
        <v>101</v>
      </c>
      <c r="E154" s="435">
        <v>1932.21</v>
      </c>
      <c r="G154" s="452"/>
      <c r="I154" s="452"/>
      <c r="M154" s="329">
        <f t="shared" si="48"/>
        <v>0</v>
      </c>
      <c r="N154" s="328"/>
      <c r="O154" s="329">
        <f t="shared" si="49"/>
        <v>1932.21</v>
      </c>
    </row>
  </sheetData>
  <mergeCells count="7">
    <mergeCell ref="B1:O1"/>
    <mergeCell ref="C2:O2"/>
    <mergeCell ref="O9:O10"/>
    <mergeCell ref="B9:B10"/>
    <mergeCell ref="C9:C10"/>
    <mergeCell ref="D9:E9"/>
    <mergeCell ref="M9:M10"/>
  </mergeCells>
  <printOptions horizontalCentered="1"/>
  <pageMargins left="0.59055118110236227" right="0.59055118110236227" top="0.78740157480314965" bottom="0.59055118110236227" header="0" footer="0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05B8-E2D1-476F-B875-4168F2113907}">
  <sheetPr>
    <tabColor rgb="FF00B050"/>
    <pageSetUpPr fitToPage="1"/>
  </sheetPr>
  <dimension ref="B1:W163"/>
  <sheetViews>
    <sheetView showGridLines="0" showZeros="0" view="pageBreakPreview" topLeftCell="A80" zoomScale="80" zoomScaleNormal="100" zoomScaleSheetLayoutView="80" workbookViewId="0">
      <selection activeCell="B2" sqref="B2:B7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5.6640625" style="103" customWidth="1"/>
    <col min="3" max="3" width="80.6640625" style="103" customWidth="1"/>
    <col min="4" max="4" width="9.109375" style="122" bestFit="1" customWidth="1"/>
    <col min="5" max="5" width="10.6640625" style="123" customWidth="1"/>
    <col min="6" max="6" width="11.44140625" style="103" bestFit="1" customWidth="1"/>
    <col min="7" max="7" width="16" style="119" bestFit="1" customWidth="1"/>
    <col min="8" max="8" width="0.88671875" style="119" customWidth="1"/>
    <col min="9" max="9" width="12.6640625" style="119" customWidth="1"/>
    <col min="10" max="10" width="12.6640625" style="103" customWidth="1"/>
    <col min="11" max="11" width="0.88671875" style="103" customWidth="1"/>
    <col min="12" max="13" width="12.6640625" style="103" customWidth="1"/>
    <col min="14" max="14" width="0.88671875" style="103" customWidth="1"/>
    <col min="15" max="16" width="12.6640625" style="103" customWidth="1"/>
    <col min="17" max="17" width="1.6640625" style="103" customWidth="1"/>
    <col min="18" max="18" width="11" style="103" bestFit="1" customWidth="1"/>
    <col min="19" max="19" width="13.6640625" style="103" bestFit="1" customWidth="1"/>
    <col min="20" max="20" width="11.33203125" style="104" bestFit="1" customWidth="1"/>
    <col min="21" max="21" width="10.33203125" style="103"/>
    <col min="22" max="22" width="10.109375" style="103" bestFit="1" customWidth="1"/>
    <col min="23" max="16384" width="10.33203125" style="103"/>
  </cols>
  <sheetData>
    <row r="1" spans="2:23" s="105" customFormat="1" ht="30" customHeight="1" thickBot="1" x14ac:dyDescent="0.3">
      <c r="B1" s="617" t="s">
        <v>169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9"/>
      <c r="Q1" s="103"/>
      <c r="R1" s="103"/>
      <c r="S1" s="103"/>
      <c r="T1" s="104"/>
      <c r="U1" s="103"/>
      <c r="V1" s="103"/>
      <c r="W1" s="103"/>
    </row>
    <row r="2" spans="2:23" s="105" customFormat="1" ht="30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326"/>
      <c r="O2" s="326"/>
      <c r="P2" s="326"/>
    </row>
    <row r="3" spans="2:23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2:23" s="105" customFormat="1" ht="15" customHeight="1" x14ac:dyDescent="0.25">
      <c r="B4" s="236" t="s">
        <v>583</v>
      </c>
      <c r="C4" s="103" t="str">
        <f>+FT!$E$15</f>
        <v>CONSORCIO EJECUTOR LOS PINOS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spans="2:23" s="105" customFormat="1" ht="15" customHeight="1" x14ac:dyDescent="0.25">
      <c r="B5" s="236" t="s">
        <v>630</v>
      </c>
      <c r="C5" s="103" t="str">
        <f>+FT!$E$34</f>
        <v>PROYECTA PCL S.A.C</v>
      </c>
      <c r="D5" s="104" t="s">
        <v>212</v>
      </c>
      <c r="E5" s="103"/>
      <c r="F5" s="103"/>
      <c r="G5" s="251">
        <f>+FT!$E$24</f>
        <v>638827.47</v>
      </c>
      <c r="H5" s="103"/>
      <c r="I5" s="103"/>
      <c r="J5" s="103"/>
      <c r="K5" s="103"/>
      <c r="L5" s="103"/>
      <c r="M5" s="103"/>
      <c r="N5" s="103"/>
      <c r="O5" s="103"/>
      <c r="P5" s="103"/>
    </row>
    <row r="6" spans="2:23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4" t="s">
        <v>215</v>
      </c>
      <c r="E6" s="103"/>
      <c r="F6" s="103"/>
      <c r="G6" s="251">
        <f>+FT!$E$25</f>
        <v>638827.47</v>
      </c>
      <c r="H6" s="103"/>
      <c r="I6" s="103"/>
      <c r="J6" s="103"/>
      <c r="K6" s="103"/>
      <c r="L6" s="103"/>
      <c r="M6" s="103"/>
      <c r="N6" s="103"/>
      <c r="O6" s="103"/>
      <c r="P6" s="103"/>
    </row>
    <row r="7" spans="2:23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3" t="s">
        <v>214</v>
      </c>
      <c r="E7" s="103"/>
      <c r="G7" s="103" t="str">
        <f>+FT!$E$31</f>
        <v>SESENTA (60) DÍAS CALENDARIOS</v>
      </c>
      <c r="H7" s="103"/>
      <c r="I7" s="103"/>
      <c r="J7" s="103"/>
      <c r="K7" s="103"/>
      <c r="L7" s="103"/>
      <c r="M7" s="103"/>
      <c r="N7" s="103"/>
      <c r="O7" s="103"/>
      <c r="P7" s="103"/>
    </row>
    <row r="8" spans="2:23" ht="7.5" customHeight="1" thickBot="1" x14ac:dyDescent="0.3">
      <c r="D8" s="103"/>
      <c r="E8" s="103"/>
      <c r="G8" s="103"/>
      <c r="H8" s="103"/>
      <c r="I8" s="103"/>
    </row>
    <row r="9" spans="2:23" s="236" customFormat="1" ht="15" customHeight="1" x14ac:dyDescent="0.25">
      <c r="B9" s="643" t="s">
        <v>10</v>
      </c>
      <c r="C9" s="644" t="s">
        <v>16</v>
      </c>
      <c r="D9" s="644" t="s">
        <v>204</v>
      </c>
      <c r="E9" s="644"/>
      <c r="F9" s="644"/>
      <c r="G9" s="645"/>
      <c r="H9" s="628"/>
      <c r="I9" s="654">
        <v>46174</v>
      </c>
      <c r="J9" s="655"/>
      <c r="K9" s="628"/>
      <c r="L9" s="654">
        <v>46204</v>
      </c>
      <c r="M9" s="655"/>
      <c r="N9" s="631"/>
      <c r="O9" s="654">
        <v>46235</v>
      </c>
      <c r="P9" s="655"/>
      <c r="T9" s="154"/>
    </row>
    <row r="10" spans="2:23" s="236" customFormat="1" ht="15" customHeight="1" x14ac:dyDescent="0.25">
      <c r="B10" s="646"/>
      <c r="C10" s="647"/>
      <c r="D10" s="647"/>
      <c r="E10" s="647"/>
      <c r="F10" s="647"/>
      <c r="G10" s="648"/>
      <c r="H10" s="628"/>
      <c r="I10" s="656">
        <v>46193</v>
      </c>
      <c r="J10" s="657">
        <v>46203</v>
      </c>
      <c r="K10" s="628"/>
      <c r="L10" s="656">
        <v>46204</v>
      </c>
      <c r="M10" s="657">
        <v>46234</v>
      </c>
      <c r="N10" s="634"/>
      <c r="O10" s="656">
        <v>46235</v>
      </c>
      <c r="P10" s="657">
        <v>46253</v>
      </c>
      <c r="T10" s="154"/>
    </row>
    <row r="11" spans="2:23" s="236" customFormat="1" ht="15" customHeight="1" thickBot="1" x14ac:dyDescent="0.3">
      <c r="B11" s="649"/>
      <c r="C11" s="650"/>
      <c r="D11" s="651" t="s">
        <v>50</v>
      </c>
      <c r="E11" s="652" t="s">
        <v>1</v>
      </c>
      <c r="F11" s="651" t="s">
        <v>55</v>
      </c>
      <c r="G11" s="653" t="s">
        <v>2</v>
      </c>
      <c r="H11" s="635"/>
      <c r="I11" s="658" t="s">
        <v>168</v>
      </c>
      <c r="J11" s="659" t="s">
        <v>100</v>
      </c>
      <c r="K11" s="635"/>
      <c r="L11" s="658" t="s">
        <v>168</v>
      </c>
      <c r="M11" s="659" t="s">
        <v>100</v>
      </c>
      <c r="N11" s="638"/>
      <c r="O11" s="658" t="s">
        <v>168</v>
      </c>
      <c r="P11" s="659" t="s">
        <v>100</v>
      </c>
      <c r="T11" s="154"/>
    </row>
    <row r="12" spans="2:23" s="107" customFormat="1" ht="15" customHeight="1" x14ac:dyDescent="0.25">
      <c r="B12" s="620" t="s">
        <v>6</v>
      </c>
      <c r="C12" s="621" t="s">
        <v>313</v>
      </c>
      <c r="D12" s="622"/>
      <c r="E12" s="623"/>
      <c r="F12" s="624"/>
      <c r="G12" s="383"/>
      <c r="H12" s="375"/>
      <c r="I12" s="625"/>
      <c r="J12" s="626"/>
      <c r="K12" s="456"/>
      <c r="L12" s="625"/>
      <c r="M12" s="627"/>
      <c r="N12" s="461"/>
      <c r="O12" s="625"/>
      <c r="P12" s="627"/>
      <c r="R12" s="108"/>
      <c r="S12" s="109"/>
      <c r="T12" s="108"/>
      <c r="U12" s="108"/>
    </row>
    <row r="13" spans="2:23" s="110" customFormat="1" ht="15" customHeight="1" x14ac:dyDescent="0.25">
      <c r="B13" s="441" t="s">
        <v>171</v>
      </c>
      <c r="C13" s="386" t="s">
        <v>314</v>
      </c>
      <c r="D13" s="380"/>
      <c r="E13" s="381"/>
      <c r="F13" s="382"/>
      <c r="G13" s="305"/>
      <c r="H13" s="376"/>
      <c r="I13" s="151"/>
      <c r="J13" s="152"/>
      <c r="K13" s="376"/>
      <c r="L13" s="151"/>
      <c r="M13" s="152"/>
      <c r="N13" s="462"/>
      <c r="O13" s="151"/>
      <c r="P13" s="152"/>
      <c r="R13" s="111"/>
      <c r="S13" s="112"/>
      <c r="T13" s="111"/>
      <c r="U13" s="111"/>
    </row>
    <row r="14" spans="2:23" s="113" customFormat="1" ht="15" customHeight="1" x14ac:dyDescent="0.25">
      <c r="B14" s="442" t="s">
        <v>315</v>
      </c>
      <c r="C14" s="387" t="s">
        <v>224</v>
      </c>
      <c r="D14" s="380"/>
      <c r="E14" s="381"/>
      <c r="F14" s="382"/>
      <c r="G14" s="305"/>
      <c r="H14" s="376"/>
      <c r="I14" s="151"/>
      <c r="J14" s="152"/>
      <c r="K14" s="376"/>
      <c r="L14" s="151"/>
      <c r="M14" s="152"/>
      <c r="N14" s="462"/>
      <c r="O14" s="151"/>
      <c r="P14" s="152"/>
      <c r="R14" s="114"/>
      <c r="S14" s="115"/>
      <c r="T14" s="114"/>
      <c r="U14" s="114"/>
    </row>
    <row r="15" spans="2:23" s="138" customFormat="1" ht="15" customHeight="1" x14ac:dyDescent="0.25">
      <c r="B15" s="443" t="s">
        <v>316</v>
      </c>
      <c r="C15" s="388" t="s">
        <v>317</v>
      </c>
      <c r="D15" s="380" t="s">
        <v>318</v>
      </c>
      <c r="E15" s="381">
        <v>2</v>
      </c>
      <c r="F15" s="382">
        <v>2400</v>
      </c>
      <c r="G15" s="305">
        <f>ROUND(E15*F15,2)</f>
        <v>4800</v>
      </c>
      <c r="H15" s="376"/>
      <c r="I15" s="151">
        <f>ROUND(J15/$G15,4)</f>
        <v>0.5</v>
      </c>
      <c r="J15" s="152">
        <v>2400</v>
      </c>
      <c r="K15" s="376"/>
      <c r="L15" s="151">
        <f>ROUND(M15/$G15,4)</f>
        <v>0.24</v>
      </c>
      <c r="M15" s="152">
        <v>1152</v>
      </c>
      <c r="N15" s="462"/>
      <c r="O15" s="151">
        <f>ROUND(P15/$G15,4)</f>
        <v>0</v>
      </c>
      <c r="P15" s="152"/>
      <c r="R15" s="139"/>
      <c r="S15" s="140"/>
      <c r="T15" s="139"/>
      <c r="U15" s="139"/>
    </row>
    <row r="16" spans="2:23" s="104" customFormat="1" ht="15" customHeight="1" x14ac:dyDescent="0.25">
      <c r="B16" s="443" t="s">
        <v>319</v>
      </c>
      <c r="C16" s="389" t="s">
        <v>320</v>
      </c>
      <c r="D16" s="380" t="s">
        <v>233</v>
      </c>
      <c r="E16" s="381">
        <v>1</v>
      </c>
      <c r="F16" s="382">
        <v>1205.49</v>
      </c>
      <c r="G16" s="305">
        <f t="shared" ref="G16:G17" si="0">ROUND(E16*F16,2)</f>
        <v>1205.49</v>
      </c>
      <c r="H16" s="376"/>
      <c r="I16" s="151">
        <f t="shared" ref="I16:I17" si="1">ROUND(J16/$G16,4)</f>
        <v>1</v>
      </c>
      <c r="J16" s="152">
        <v>1205.49</v>
      </c>
      <c r="K16" s="376"/>
      <c r="L16" s="151">
        <f t="shared" ref="L16:L17" si="2">ROUND(M16/$G16,4)</f>
        <v>0</v>
      </c>
      <c r="M16" s="152">
        <v>0</v>
      </c>
      <c r="N16" s="462"/>
      <c r="O16" s="151">
        <f t="shared" ref="O16:O17" si="3">ROUND(P16/$G16,4)</f>
        <v>0</v>
      </c>
      <c r="P16" s="152"/>
      <c r="R16" s="118"/>
      <c r="S16" s="119"/>
      <c r="T16" s="118"/>
      <c r="U16" s="118"/>
    </row>
    <row r="17" spans="2:21" s="104" customFormat="1" ht="15" customHeight="1" x14ac:dyDescent="0.25">
      <c r="B17" s="443" t="s">
        <v>321</v>
      </c>
      <c r="C17" s="388" t="s">
        <v>322</v>
      </c>
      <c r="D17" s="380" t="s">
        <v>318</v>
      </c>
      <c r="E17" s="381">
        <v>2</v>
      </c>
      <c r="F17" s="382">
        <v>850</v>
      </c>
      <c r="G17" s="305">
        <f t="shared" si="0"/>
        <v>1700</v>
      </c>
      <c r="H17" s="376"/>
      <c r="I17" s="151">
        <f t="shared" si="1"/>
        <v>0.5</v>
      </c>
      <c r="J17" s="152">
        <v>850</v>
      </c>
      <c r="K17" s="376"/>
      <c r="L17" s="151">
        <f t="shared" si="2"/>
        <v>0.24</v>
      </c>
      <c r="M17" s="152">
        <v>408</v>
      </c>
      <c r="N17" s="462"/>
      <c r="O17" s="151">
        <f t="shared" si="3"/>
        <v>0</v>
      </c>
      <c r="P17" s="152"/>
      <c r="R17" s="118"/>
      <c r="S17" s="119"/>
      <c r="T17" s="118"/>
      <c r="U17" s="118"/>
    </row>
    <row r="18" spans="2:21" s="138" customFormat="1" ht="15" customHeight="1" x14ac:dyDescent="0.25">
      <c r="B18" s="442" t="s">
        <v>323</v>
      </c>
      <c r="C18" s="387" t="s">
        <v>225</v>
      </c>
      <c r="D18" s="390"/>
      <c r="E18" s="391"/>
      <c r="F18" s="392"/>
      <c r="G18" s="305">
        <f>ROUND(E18*F18,2)</f>
        <v>0</v>
      </c>
      <c r="H18" s="376"/>
      <c r="I18" s="151"/>
      <c r="J18" s="152"/>
      <c r="K18" s="376"/>
      <c r="L18" s="151"/>
      <c r="M18" s="152"/>
      <c r="N18" s="462"/>
      <c r="O18" s="151"/>
      <c r="P18" s="152"/>
      <c r="R18" s="139"/>
      <c r="S18" s="140"/>
      <c r="T18" s="139"/>
      <c r="U18" s="139"/>
    </row>
    <row r="19" spans="2:21" s="104" customFormat="1" ht="15" customHeight="1" x14ac:dyDescent="0.25">
      <c r="B19" s="443" t="s">
        <v>324</v>
      </c>
      <c r="C19" s="388" t="s">
        <v>229</v>
      </c>
      <c r="D19" s="380" t="s">
        <v>101</v>
      </c>
      <c r="E19" s="381">
        <v>1932.21</v>
      </c>
      <c r="F19" s="382">
        <v>1.06</v>
      </c>
      <c r="G19" s="305">
        <f t="shared" ref="G19:G24" si="4">ROUND(E19*F19,2)</f>
        <v>2048.14</v>
      </c>
      <c r="H19" s="376"/>
      <c r="I19" s="151">
        <f t="shared" ref="I19:I21" si="5">ROUND(J19/$G19,4)</f>
        <v>1</v>
      </c>
      <c r="J19" s="152">
        <v>2048.14</v>
      </c>
      <c r="K19" s="376"/>
      <c r="L19" s="151">
        <f t="shared" ref="L19:L21" si="6">ROUND(M19/$G19,4)</f>
        <v>0</v>
      </c>
      <c r="M19" s="152">
        <v>0</v>
      </c>
      <c r="N19" s="462"/>
      <c r="O19" s="151">
        <f t="shared" ref="O19:O21" si="7">ROUND(P19/$G19,4)</f>
        <v>0</v>
      </c>
      <c r="P19" s="152"/>
      <c r="R19" s="118"/>
      <c r="S19" s="119"/>
      <c r="T19" s="118"/>
      <c r="U19" s="118"/>
    </row>
    <row r="20" spans="2:21" s="104" customFormat="1" ht="15" customHeight="1" x14ac:dyDescent="0.25">
      <c r="B20" s="443" t="s">
        <v>325</v>
      </c>
      <c r="C20" s="388" t="s">
        <v>230</v>
      </c>
      <c r="D20" s="380" t="s">
        <v>101</v>
      </c>
      <c r="E20" s="381">
        <v>1932.21</v>
      </c>
      <c r="F20" s="382">
        <v>4.32</v>
      </c>
      <c r="G20" s="305">
        <f t="shared" si="4"/>
        <v>8347.15</v>
      </c>
      <c r="H20" s="376"/>
      <c r="I20" s="151">
        <f t="shared" si="5"/>
        <v>1</v>
      </c>
      <c r="J20" s="152">
        <v>8347.15</v>
      </c>
      <c r="K20" s="376"/>
      <c r="L20" s="151">
        <f t="shared" si="6"/>
        <v>0</v>
      </c>
      <c r="M20" s="152">
        <v>0</v>
      </c>
      <c r="N20" s="462"/>
      <c r="O20" s="151">
        <f t="shared" si="7"/>
        <v>0</v>
      </c>
      <c r="P20" s="152"/>
      <c r="R20" s="118"/>
      <c r="S20" s="119"/>
      <c r="T20" s="118"/>
      <c r="U20" s="118"/>
    </row>
    <row r="21" spans="2:21" s="138" customFormat="1" ht="15" customHeight="1" x14ac:dyDescent="0.25">
      <c r="B21" s="443" t="s">
        <v>326</v>
      </c>
      <c r="C21" s="388" t="s">
        <v>327</v>
      </c>
      <c r="D21" s="380" t="s">
        <v>5</v>
      </c>
      <c r="E21" s="381">
        <v>1</v>
      </c>
      <c r="F21" s="382">
        <v>2500</v>
      </c>
      <c r="G21" s="305">
        <f t="shared" si="4"/>
        <v>2500</v>
      </c>
      <c r="H21" s="376"/>
      <c r="I21" s="151">
        <f t="shared" si="5"/>
        <v>1</v>
      </c>
      <c r="J21" s="152">
        <v>2500</v>
      </c>
      <c r="K21" s="376"/>
      <c r="L21" s="151">
        <f t="shared" si="6"/>
        <v>0</v>
      </c>
      <c r="M21" s="152">
        <v>0</v>
      </c>
      <c r="N21" s="462"/>
      <c r="O21" s="151">
        <f t="shared" si="7"/>
        <v>0</v>
      </c>
      <c r="P21" s="152"/>
      <c r="R21" s="139"/>
      <c r="T21" s="139"/>
      <c r="U21" s="139"/>
    </row>
    <row r="22" spans="2:21" s="104" customFormat="1" ht="15" customHeight="1" x14ac:dyDescent="0.25">
      <c r="B22" s="442" t="s">
        <v>328</v>
      </c>
      <c r="C22" s="387" t="s">
        <v>329</v>
      </c>
      <c r="D22" s="390"/>
      <c r="E22" s="391"/>
      <c r="F22" s="392"/>
      <c r="G22" s="305">
        <f t="shared" si="4"/>
        <v>0</v>
      </c>
      <c r="H22" s="377"/>
      <c r="I22" s="151"/>
      <c r="J22" s="152"/>
      <c r="K22" s="457"/>
      <c r="L22" s="151"/>
      <c r="M22" s="152"/>
      <c r="N22" s="462"/>
      <c r="O22" s="151"/>
      <c r="P22" s="152"/>
      <c r="R22" s="118"/>
      <c r="T22" s="118"/>
      <c r="U22" s="118"/>
    </row>
    <row r="23" spans="2:21" s="138" customFormat="1" ht="15" customHeight="1" x14ac:dyDescent="0.25">
      <c r="B23" s="443" t="s">
        <v>330</v>
      </c>
      <c r="C23" s="388" t="s">
        <v>331</v>
      </c>
      <c r="D23" s="380" t="s">
        <v>101</v>
      </c>
      <c r="E23" s="381">
        <v>135.5</v>
      </c>
      <c r="F23" s="382">
        <v>21.33</v>
      </c>
      <c r="G23" s="305">
        <f t="shared" si="4"/>
        <v>2890.22</v>
      </c>
      <c r="H23" s="376"/>
      <c r="I23" s="151">
        <f t="shared" ref="I23:I24" si="8">ROUND(J23/$G23,4)</f>
        <v>1</v>
      </c>
      <c r="J23" s="152">
        <v>2890.22</v>
      </c>
      <c r="K23" s="376"/>
      <c r="L23" s="151">
        <f t="shared" ref="L23:L24" si="9">ROUND(M23/$G23,4)</f>
        <v>0</v>
      </c>
      <c r="M23" s="152">
        <v>0</v>
      </c>
      <c r="N23" s="462"/>
      <c r="O23" s="151">
        <f t="shared" ref="O23:O24" si="10">ROUND(P23/$G23,4)</f>
        <v>0</v>
      </c>
      <c r="P23" s="152"/>
      <c r="R23" s="139"/>
      <c r="T23" s="139"/>
      <c r="U23" s="139"/>
    </row>
    <row r="24" spans="2:21" s="129" customFormat="1" ht="15" customHeight="1" x14ac:dyDescent="0.25">
      <c r="B24" s="443" t="s">
        <v>332</v>
      </c>
      <c r="C24" s="389" t="s">
        <v>333</v>
      </c>
      <c r="D24" s="380" t="s">
        <v>234</v>
      </c>
      <c r="E24" s="381">
        <v>20.329999999999998</v>
      </c>
      <c r="F24" s="382">
        <v>18.98</v>
      </c>
      <c r="G24" s="305">
        <f t="shared" si="4"/>
        <v>385.86</v>
      </c>
      <c r="H24" s="377"/>
      <c r="I24" s="151">
        <f t="shared" si="8"/>
        <v>1</v>
      </c>
      <c r="J24" s="152">
        <v>385.86</v>
      </c>
      <c r="K24" s="457"/>
      <c r="L24" s="151">
        <f t="shared" si="9"/>
        <v>0</v>
      </c>
      <c r="M24" s="152">
        <v>0</v>
      </c>
      <c r="N24" s="462"/>
      <c r="O24" s="151">
        <f t="shared" si="10"/>
        <v>0</v>
      </c>
      <c r="P24" s="152"/>
      <c r="R24" s="139"/>
      <c r="S24" s="131"/>
      <c r="T24" s="130"/>
      <c r="U24" s="130"/>
    </row>
    <row r="25" spans="2:21" s="104" customFormat="1" ht="15" customHeight="1" x14ac:dyDescent="0.25">
      <c r="B25" s="442" t="s">
        <v>334</v>
      </c>
      <c r="C25" s="387" t="s">
        <v>335</v>
      </c>
      <c r="D25" s="390"/>
      <c r="E25" s="391"/>
      <c r="F25" s="392"/>
      <c r="G25" s="305"/>
      <c r="H25" s="376"/>
      <c r="I25" s="151"/>
      <c r="J25" s="152"/>
      <c r="K25" s="376"/>
      <c r="L25" s="151"/>
      <c r="M25" s="152"/>
      <c r="N25" s="462"/>
      <c r="O25" s="151"/>
      <c r="P25" s="152"/>
      <c r="R25" s="139"/>
      <c r="S25" s="119"/>
      <c r="T25" s="118"/>
      <c r="U25" s="118"/>
    </row>
    <row r="26" spans="2:21" s="104" customFormat="1" ht="15" customHeight="1" x14ac:dyDescent="0.25">
      <c r="B26" s="443" t="s">
        <v>336</v>
      </c>
      <c r="C26" s="388" t="s">
        <v>337</v>
      </c>
      <c r="D26" s="380" t="s">
        <v>233</v>
      </c>
      <c r="E26" s="381">
        <v>2</v>
      </c>
      <c r="F26" s="382">
        <v>221.35</v>
      </c>
      <c r="G26" s="305">
        <f t="shared" ref="G26:G28" si="11">ROUND(E26*F26,2)</f>
        <v>442.7</v>
      </c>
      <c r="H26" s="377"/>
      <c r="I26" s="151">
        <f t="shared" ref="I26:I27" si="12">ROUND(J26/$G26,4)</f>
        <v>1</v>
      </c>
      <c r="J26" s="152">
        <v>442.7</v>
      </c>
      <c r="K26" s="457"/>
      <c r="L26" s="151">
        <f t="shared" ref="L26:L27" si="13">ROUND(M26/$G26,4)</f>
        <v>0</v>
      </c>
      <c r="M26" s="152">
        <v>0</v>
      </c>
      <c r="N26" s="462"/>
      <c r="O26" s="151">
        <f t="shared" ref="O26:O27" si="14">ROUND(P26/$G26,4)</f>
        <v>0</v>
      </c>
      <c r="P26" s="152"/>
      <c r="R26" s="139"/>
      <c r="S26" s="119"/>
      <c r="T26" s="118"/>
      <c r="U26" s="118"/>
    </row>
    <row r="27" spans="2:21" s="104" customFormat="1" ht="15" customHeight="1" x14ac:dyDescent="0.25">
      <c r="B27" s="443" t="s">
        <v>338</v>
      </c>
      <c r="C27" s="389" t="s">
        <v>339</v>
      </c>
      <c r="D27" s="380" t="s">
        <v>5</v>
      </c>
      <c r="E27" s="381">
        <v>1</v>
      </c>
      <c r="F27" s="382">
        <v>221.16</v>
      </c>
      <c r="G27" s="305">
        <f t="shared" si="11"/>
        <v>221.16</v>
      </c>
      <c r="H27" s="377"/>
      <c r="I27" s="151">
        <f t="shared" si="12"/>
        <v>1</v>
      </c>
      <c r="J27" s="152">
        <v>221.16</v>
      </c>
      <c r="K27" s="457"/>
      <c r="L27" s="151">
        <f t="shared" si="13"/>
        <v>0</v>
      </c>
      <c r="M27" s="152">
        <v>0</v>
      </c>
      <c r="N27" s="462"/>
      <c r="O27" s="151">
        <f t="shared" si="14"/>
        <v>0</v>
      </c>
      <c r="P27" s="152"/>
      <c r="R27" s="139"/>
      <c r="S27" s="119"/>
      <c r="T27" s="118"/>
      <c r="U27" s="118"/>
    </row>
    <row r="28" spans="2:21" s="104" customFormat="1" ht="15" customHeight="1" x14ac:dyDescent="0.25">
      <c r="B28" s="441" t="s">
        <v>340</v>
      </c>
      <c r="C28" s="386" t="s">
        <v>341</v>
      </c>
      <c r="D28" s="393"/>
      <c r="E28" s="394"/>
      <c r="F28" s="395"/>
      <c r="G28" s="305">
        <f t="shared" si="11"/>
        <v>0</v>
      </c>
      <c r="H28" s="377"/>
      <c r="I28" s="151"/>
      <c r="J28" s="152"/>
      <c r="K28" s="457"/>
      <c r="L28" s="151"/>
      <c r="M28" s="152"/>
      <c r="N28" s="462"/>
      <c r="O28" s="151"/>
      <c r="P28" s="152"/>
      <c r="R28" s="139"/>
      <c r="S28" s="119"/>
      <c r="T28" s="118"/>
      <c r="U28" s="118"/>
    </row>
    <row r="29" spans="2:21" s="104" customFormat="1" ht="15" customHeight="1" x14ac:dyDescent="0.25">
      <c r="B29" s="442" t="s">
        <v>342</v>
      </c>
      <c r="C29" s="387" t="s">
        <v>343</v>
      </c>
      <c r="D29" s="390"/>
      <c r="E29" s="391"/>
      <c r="F29" s="392"/>
      <c r="G29" s="306"/>
      <c r="H29" s="377"/>
      <c r="I29" s="151"/>
      <c r="J29" s="152"/>
      <c r="K29" s="457"/>
      <c r="L29" s="151"/>
      <c r="M29" s="152"/>
      <c r="N29" s="462"/>
      <c r="O29" s="151"/>
      <c r="P29" s="152"/>
      <c r="R29" s="139"/>
      <c r="S29" s="119"/>
      <c r="T29" s="118"/>
      <c r="U29" s="118"/>
    </row>
    <row r="30" spans="2:21" s="104" customFormat="1" ht="15" customHeight="1" x14ac:dyDescent="0.25">
      <c r="B30" s="443" t="s">
        <v>344</v>
      </c>
      <c r="C30" s="388" t="s">
        <v>345</v>
      </c>
      <c r="D30" s="380" t="s">
        <v>234</v>
      </c>
      <c r="E30" s="381">
        <v>590.54</v>
      </c>
      <c r="F30" s="382">
        <v>10.47</v>
      </c>
      <c r="G30" s="305">
        <f t="shared" ref="G30:G33" si="15">ROUND(E30*F30,2)</f>
        <v>6182.95</v>
      </c>
      <c r="H30" s="377"/>
      <c r="I30" s="151">
        <f t="shared" ref="I30:I32" si="16">ROUND(J30/$G30,4)</f>
        <v>1</v>
      </c>
      <c r="J30" s="152">
        <v>6182.95</v>
      </c>
      <c r="K30" s="457"/>
      <c r="L30" s="151">
        <f t="shared" ref="L30:L31" si="17">ROUND(M30/$G30,4)</f>
        <v>0</v>
      </c>
      <c r="M30" s="152">
        <v>0</v>
      </c>
      <c r="N30" s="462"/>
      <c r="O30" s="151">
        <f t="shared" ref="O30:O32" si="18">ROUND(P30/$G30,4)</f>
        <v>0</v>
      </c>
      <c r="P30" s="152"/>
      <c r="R30" s="139"/>
      <c r="S30" s="119"/>
      <c r="T30" s="118"/>
      <c r="U30" s="118"/>
    </row>
    <row r="31" spans="2:21" s="104" customFormat="1" ht="15" customHeight="1" x14ac:dyDescent="0.25">
      <c r="B31" s="443" t="s">
        <v>346</v>
      </c>
      <c r="C31" s="388" t="s">
        <v>347</v>
      </c>
      <c r="D31" s="380" t="s">
        <v>234</v>
      </c>
      <c r="E31" s="381">
        <v>51.64</v>
      </c>
      <c r="F31" s="382">
        <v>19.04</v>
      </c>
      <c r="G31" s="305">
        <f t="shared" si="15"/>
        <v>983.23</v>
      </c>
      <c r="H31" s="377"/>
      <c r="I31" s="151">
        <f t="shared" si="16"/>
        <v>1</v>
      </c>
      <c r="J31" s="152">
        <v>983.23</v>
      </c>
      <c r="K31" s="457"/>
      <c r="L31" s="151">
        <f t="shared" si="17"/>
        <v>0</v>
      </c>
      <c r="M31" s="152">
        <v>0</v>
      </c>
      <c r="N31" s="462"/>
      <c r="O31" s="151">
        <f t="shared" si="18"/>
        <v>0</v>
      </c>
      <c r="P31" s="152"/>
      <c r="R31" s="139"/>
      <c r="S31" s="119"/>
      <c r="T31" s="118"/>
      <c r="U31" s="118"/>
    </row>
    <row r="32" spans="2:21" s="104" customFormat="1" ht="15" customHeight="1" x14ac:dyDescent="0.25">
      <c r="B32" s="443" t="s">
        <v>348</v>
      </c>
      <c r="C32" s="389" t="s">
        <v>349</v>
      </c>
      <c r="D32" s="380" t="s">
        <v>234</v>
      </c>
      <c r="E32" s="381">
        <v>738.18</v>
      </c>
      <c r="F32" s="382">
        <v>18.98</v>
      </c>
      <c r="G32" s="305">
        <f t="shared" si="15"/>
        <v>14010.66</v>
      </c>
      <c r="H32" s="377"/>
      <c r="I32" s="151">
        <f t="shared" si="16"/>
        <v>1</v>
      </c>
      <c r="J32" s="152">
        <v>14010.66</v>
      </c>
      <c r="K32" s="457"/>
      <c r="L32" s="151">
        <f>ROUND(M32/$G32,4)</f>
        <v>0</v>
      </c>
      <c r="M32" s="152">
        <v>0</v>
      </c>
      <c r="N32" s="462"/>
      <c r="O32" s="151">
        <f t="shared" si="18"/>
        <v>0</v>
      </c>
      <c r="P32" s="152"/>
      <c r="R32" s="139"/>
      <c r="S32" s="119"/>
      <c r="T32" s="118"/>
      <c r="U32" s="118"/>
    </row>
    <row r="33" spans="2:21" s="104" customFormat="1" ht="15" customHeight="1" x14ac:dyDescent="0.25">
      <c r="B33" s="442" t="s">
        <v>350</v>
      </c>
      <c r="C33" s="387" t="s">
        <v>351</v>
      </c>
      <c r="D33" s="390"/>
      <c r="E33" s="391"/>
      <c r="F33" s="392"/>
      <c r="G33" s="305">
        <f t="shared" si="15"/>
        <v>0</v>
      </c>
      <c r="H33" s="377"/>
      <c r="I33" s="151"/>
      <c r="J33" s="152"/>
      <c r="K33" s="457"/>
      <c r="L33" s="151"/>
      <c r="M33" s="152"/>
      <c r="N33" s="462"/>
      <c r="O33" s="151"/>
      <c r="P33" s="152"/>
      <c r="R33" s="139"/>
      <c r="S33" s="119"/>
      <c r="T33" s="118"/>
      <c r="U33" s="118"/>
    </row>
    <row r="34" spans="2:21" s="104" customFormat="1" ht="15" customHeight="1" x14ac:dyDescent="0.25">
      <c r="B34" s="443" t="s">
        <v>352</v>
      </c>
      <c r="C34" s="388" t="s">
        <v>353</v>
      </c>
      <c r="D34" s="380" t="s">
        <v>101</v>
      </c>
      <c r="E34" s="381">
        <v>910.14</v>
      </c>
      <c r="F34" s="382">
        <v>31.15</v>
      </c>
      <c r="G34" s="305">
        <f>ROUND(E34*F34,2)</f>
        <v>28350.86</v>
      </c>
      <c r="H34" s="377"/>
      <c r="I34" s="151">
        <f>ROUND(J34/$G34,4)</f>
        <v>1</v>
      </c>
      <c r="J34" s="152">
        <v>28350.86</v>
      </c>
      <c r="K34" s="457"/>
      <c r="L34" s="151">
        <f>ROUND(M34/$G34,4)</f>
        <v>0</v>
      </c>
      <c r="M34" s="152">
        <v>0</v>
      </c>
      <c r="N34" s="462"/>
      <c r="O34" s="151">
        <f>ROUND(P34/$G34,4)</f>
        <v>0</v>
      </c>
      <c r="P34" s="152"/>
      <c r="R34" s="139"/>
      <c r="S34" s="119"/>
      <c r="T34" s="118"/>
      <c r="U34" s="118"/>
    </row>
    <row r="35" spans="2:21" s="104" customFormat="1" ht="15" customHeight="1" x14ac:dyDescent="0.25">
      <c r="B35" s="442" t="s">
        <v>354</v>
      </c>
      <c r="C35" s="387" t="s">
        <v>355</v>
      </c>
      <c r="D35" s="390"/>
      <c r="E35" s="391"/>
      <c r="F35" s="392"/>
      <c r="G35" s="305">
        <f>ROUND(E35*F35,2)</f>
        <v>0</v>
      </c>
      <c r="H35" s="377"/>
      <c r="I35" s="151"/>
      <c r="J35" s="152"/>
      <c r="K35" s="457"/>
      <c r="L35" s="151"/>
      <c r="M35" s="152"/>
      <c r="N35" s="462"/>
      <c r="O35" s="151"/>
      <c r="P35" s="152"/>
      <c r="R35" s="139"/>
      <c r="S35" s="119"/>
      <c r="T35" s="118"/>
      <c r="U35" s="118"/>
    </row>
    <row r="36" spans="2:21" s="104" customFormat="1" ht="15" customHeight="1" x14ac:dyDescent="0.25">
      <c r="B36" s="443" t="s">
        <v>356</v>
      </c>
      <c r="C36" s="388" t="s">
        <v>357</v>
      </c>
      <c r="D36" s="380" t="s">
        <v>101</v>
      </c>
      <c r="E36" s="381">
        <v>910.14</v>
      </c>
      <c r="F36" s="382">
        <v>5.54</v>
      </c>
      <c r="G36" s="305">
        <f>ROUND(E36*F36,2)</f>
        <v>5042.18</v>
      </c>
      <c r="H36" s="377"/>
      <c r="I36" s="151">
        <f>ROUND(J36/$G36,4)</f>
        <v>1</v>
      </c>
      <c r="J36" s="152">
        <v>5042.18</v>
      </c>
      <c r="K36" s="457"/>
      <c r="L36" s="151">
        <f>ROUND(M36/$G36,4)</f>
        <v>0</v>
      </c>
      <c r="M36" s="152">
        <v>0</v>
      </c>
      <c r="N36" s="462"/>
      <c r="O36" s="151">
        <f>ROUND(P36/$G36,4)</f>
        <v>0</v>
      </c>
      <c r="P36" s="152"/>
      <c r="R36" s="139"/>
      <c r="S36" s="119"/>
      <c r="T36" s="118"/>
      <c r="U36" s="118"/>
    </row>
    <row r="37" spans="2:21" s="104" customFormat="1" ht="15" customHeight="1" x14ac:dyDescent="0.25">
      <c r="B37" s="442" t="s">
        <v>358</v>
      </c>
      <c r="C37" s="387" t="s">
        <v>359</v>
      </c>
      <c r="D37" s="390"/>
      <c r="E37" s="391"/>
      <c r="F37" s="392"/>
      <c r="G37" s="305">
        <f t="shared" ref="G37:G45" si="19">ROUND(E37*F37,2)</f>
        <v>0</v>
      </c>
      <c r="H37" s="377"/>
      <c r="I37" s="151"/>
      <c r="J37" s="152"/>
      <c r="K37" s="457"/>
      <c r="L37" s="151"/>
      <c r="M37" s="152"/>
      <c r="N37" s="462"/>
      <c r="O37" s="151"/>
      <c r="P37" s="152"/>
      <c r="R37" s="139"/>
      <c r="S37" s="119"/>
      <c r="T37" s="118"/>
      <c r="U37" s="118"/>
    </row>
    <row r="38" spans="2:21" s="104" customFormat="1" ht="15" customHeight="1" x14ac:dyDescent="0.25">
      <c r="B38" s="443" t="s">
        <v>360</v>
      </c>
      <c r="C38" s="388" t="s">
        <v>361</v>
      </c>
      <c r="D38" s="380" t="s">
        <v>101</v>
      </c>
      <c r="E38" s="381">
        <v>127.29</v>
      </c>
      <c r="F38" s="382">
        <v>63.41</v>
      </c>
      <c r="G38" s="305">
        <f t="shared" si="19"/>
        <v>8071.46</v>
      </c>
      <c r="H38" s="377"/>
      <c r="I38" s="151">
        <f t="shared" ref="I38:I45" si="20">ROUND(J38/$G38,4)</f>
        <v>1</v>
      </c>
      <c r="J38" s="152">
        <v>8071.46</v>
      </c>
      <c r="K38" s="457"/>
      <c r="L38" s="151">
        <f t="shared" ref="L38:L45" si="21">ROUND(M38/$G38,4)</f>
        <v>0</v>
      </c>
      <c r="M38" s="152">
        <v>0</v>
      </c>
      <c r="N38" s="462"/>
      <c r="O38" s="151">
        <f t="shared" ref="O38:O45" si="22">ROUND(P38/$G38,4)</f>
        <v>0</v>
      </c>
      <c r="P38" s="152"/>
      <c r="R38" s="139"/>
      <c r="S38" s="119"/>
      <c r="T38" s="118"/>
      <c r="U38" s="118"/>
    </row>
    <row r="39" spans="2:21" s="104" customFormat="1" ht="15" customHeight="1" x14ac:dyDescent="0.25">
      <c r="B39" s="443" t="s">
        <v>362</v>
      </c>
      <c r="C39" s="388" t="s">
        <v>363</v>
      </c>
      <c r="D39" s="380" t="s">
        <v>101</v>
      </c>
      <c r="E39" s="381">
        <v>910.14</v>
      </c>
      <c r="F39" s="382">
        <v>119.99</v>
      </c>
      <c r="G39" s="305">
        <f t="shared" si="19"/>
        <v>109207.7</v>
      </c>
      <c r="H39" s="377"/>
      <c r="I39" s="151">
        <f t="shared" si="20"/>
        <v>1</v>
      </c>
      <c r="J39" s="152">
        <v>109207.7</v>
      </c>
      <c r="K39" s="457"/>
      <c r="L39" s="151">
        <f t="shared" si="21"/>
        <v>0</v>
      </c>
      <c r="M39" s="152">
        <v>0</v>
      </c>
      <c r="N39" s="462"/>
      <c r="O39" s="151">
        <f t="shared" si="22"/>
        <v>0</v>
      </c>
      <c r="P39" s="152"/>
      <c r="R39" s="139"/>
      <c r="S39" s="119"/>
      <c r="T39" s="118"/>
      <c r="U39" s="118"/>
    </row>
    <row r="40" spans="2:21" s="104" customFormat="1" ht="15" customHeight="1" x14ac:dyDescent="0.25">
      <c r="B40" s="443" t="s">
        <v>364</v>
      </c>
      <c r="C40" s="388" t="s">
        <v>365</v>
      </c>
      <c r="D40" s="380" t="s">
        <v>101</v>
      </c>
      <c r="E40" s="381">
        <v>910.14</v>
      </c>
      <c r="F40" s="382">
        <v>2.92</v>
      </c>
      <c r="G40" s="305">
        <f t="shared" si="19"/>
        <v>2657.61</v>
      </c>
      <c r="H40" s="377"/>
      <c r="I40" s="151">
        <f t="shared" si="20"/>
        <v>1</v>
      </c>
      <c r="J40" s="152">
        <v>2657.61</v>
      </c>
      <c r="K40" s="457"/>
      <c r="L40" s="151">
        <f t="shared" si="21"/>
        <v>0</v>
      </c>
      <c r="M40" s="152">
        <v>0</v>
      </c>
      <c r="N40" s="462"/>
      <c r="O40" s="151">
        <f t="shared" si="22"/>
        <v>0</v>
      </c>
      <c r="P40" s="152"/>
      <c r="R40" s="139"/>
      <c r="S40" s="119"/>
      <c r="T40" s="118"/>
      <c r="U40" s="118"/>
    </row>
    <row r="41" spans="2:21" s="104" customFormat="1" ht="15" customHeight="1" x14ac:dyDescent="0.25">
      <c r="B41" s="443" t="s">
        <v>366</v>
      </c>
      <c r="C41" s="389" t="s">
        <v>367</v>
      </c>
      <c r="D41" s="380" t="s">
        <v>102</v>
      </c>
      <c r="E41" s="381">
        <v>80.64</v>
      </c>
      <c r="F41" s="382">
        <v>12.14</v>
      </c>
      <c r="G41" s="305">
        <f t="shared" si="19"/>
        <v>978.97</v>
      </c>
      <c r="H41" s="377"/>
      <c r="I41" s="151">
        <f t="shared" si="20"/>
        <v>1</v>
      </c>
      <c r="J41" s="152">
        <v>978.97</v>
      </c>
      <c r="K41" s="457"/>
      <c r="L41" s="151">
        <f t="shared" si="21"/>
        <v>0</v>
      </c>
      <c r="M41" s="152">
        <v>0</v>
      </c>
      <c r="N41" s="462"/>
      <c r="O41" s="151">
        <f t="shared" si="22"/>
        <v>0</v>
      </c>
      <c r="P41" s="152"/>
      <c r="R41" s="139"/>
      <c r="S41" s="119"/>
      <c r="T41" s="118"/>
      <c r="U41" s="118"/>
    </row>
    <row r="42" spans="2:21" s="104" customFormat="1" ht="15" customHeight="1" x14ac:dyDescent="0.25">
      <c r="B42" s="443" t="s">
        <v>368</v>
      </c>
      <c r="C42" s="389" t="s">
        <v>369</v>
      </c>
      <c r="D42" s="380" t="s">
        <v>102</v>
      </c>
      <c r="E42" s="381">
        <v>176.4</v>
      </c>
      <c r="F42" s="382">
        <v>42.88</v>
      </c>
      <c r="G42" s="305">
        <f t="shared" si="19"/>
        <v>7564.03</v>
      </c>
      <c r="H42" s="377"/>
      <c r="I42" s="151">
        <f t="shared" si="20"/>
        <v>1</v>
      </c>
      <c r="J42" s="152">
        <v>7564.03</v>
      </c>
      <c r="K42" s="457"/>
      <c r="L42" s="151">
        <f t="shared" si="21"/>
        <v>0</v>
      </c>
      <c r="M42" s="152">
        <v>0</v>
      </c>
      <c r="N42" s="462"/>
      <c r="O42" s="151">
        <f t="shared" si="22"/>
        <v>0</v>
      </c>
      <c r="P42" s="152"/>
      <c r="R42" s="139"/>
      <c r="S42" s="119"/>
      <c r="T42" s="118"/>
      <c r="U42" s="118"/>
    </row>
    <row r="43" spans="2:21" s="104" customFormat="1" ht="15" customHeight="1" x14ac:dyDescent="0.25">
      <c r="B43" s="443" t="s">
        <v>370</v>
      </c>
      <c r="C43" s="388" t="s">
        <v>371</v>
      </c>
      <c r="D43" s="380" t="s">
        <v>145</v>
      </c>
      <c r="E43" s="381">
        <v>360</v>
      </c>
      <c r="F43" s="382">
        <v>5.59</v>
      </c>
      <c r="G43" s="305">
        <f t="shared" si="19"/>
        <v>2012.4</v>
      </c>
      <c r="H43" s="377"/>
      <c r="I43" s="151">
        <f t="shared" si="20"/>
        <v>1</v>
      </c>
      <c r="J43" s="152">
        <v>2012.4</v>
      </c>
      <c r="K43" s="457"/>
      <c r="L43" s="151">
        <f t="shared" si="21"/>
        <v>0</v>
      </c>
      <c r="M43" s="152">
        <v>0</v>
      </c>
      <c r="N43" s="462"/>
      <c r="O43" s="151">
        <f t="shared" si="22"/>
        <v>0</v>
      </c>
      <c r="P43" s="152"/>
      <c r="R43" s="139"/>
      <c r="S43" s="119"/>
      <c r="T43" s="118"/>
      <c r="U43" s="118"/>
    </row>
    <row r="44" spans="2:21" s="104" customFormat="1" ht="15" customHeight="1" x14ac:dyDescent="0.25">
      <c r="B44" s="443" t="s">
        <v>372</v>
      </c>
      <c r="C44" s="388" t="s">
        <v>373</v>
      </c>
      <c r="D44" s="380" t="s">
        <v>145</v>
      </c>
      <c r="E44" s="381">
        <v>255</v>
      </c>
      <c r="F44" s="382">
        <v>5.59</v>
      </c>
      <c r="G44" s="305">
        <f t="shared" si="19"/>
        <v>1425.45</v>
      </c>
      <c r="H44" s="377"/>
      <c r="I44" s="151">
        <f t="shared" si="20"/>
        <v>1</v>
      </c>
      <c r="J44" s="152">
        <v>1425.45</v>
      </c>
      <c r="K44" s="457"/>
      <c r="L44" s="151">
        <f t="shared" si="21"/>
        <v>0</v>
      </c>
      <c r="M44" s="152">
        <v>0</v>
      </c>
      <c r="N44" s="462"/>
      <c r="O44" s="151">
        <f t="shared" si="22"/>
        <v>0</v>
      </c>
      <c r="P44" s="152"/>
      <c r="R44" s="139"/>
      <c r="S44" s="119"/>
      <c r="T44" s="118"/>
      <c r="U44" s="118"/>
    </row>
    <row r="45" spans="2:21" s="104" customFormat="1" ht="15" customHeight="1" x14ac:dyDescent="0.25">
      <c r="B45" s="443" t="s">
        <v>374</v>
      </c>
      <c r="C45" s="389" t="s">
        <v>375</v>
      </c>
      <c r="D45" s="380" t="s">
        <v>145</v>
      </c>
      <c r="E45" s="381">
        <v>150</v>
      </c>
      <c r="F45" s="382">
        <v>19.22</v>
      </c>
      <c r="G45" s="305">
        <f t="shared" si="19"/>
        <v>2883</v>
      </c>
      <c r="H45" s="377"/>
      <c r="I45" s="151">
        <f t="shared" si="20"/>
        <v>1</v>
      </c>
      <c r="J45" s="152">
        <v>2883</v>
      </c>
      <c r="K45" s="457"/>
      <c r="L45" s="151">
        <f t="shared" si="21"/>
        <v>0</v>
      </c>
      <c r="M45" s="152">
        <v>0</v>
      </c>
      <c r="N45" s="462"/>
      <c r="O45" s="151">
        <f t="shared" si="22"/>
        <v>0</v>
      </c>
      <c r="P45" s="152"/>
      <c r="R45" s="139"/>
      <c r="S45" s="119"/>
      <c r="T45" s="118"/>
      <c r="U45" s="118"/>
    </row>
    <row r="46" spans="2:21" s="104" customFormat="1" ht="15" customHeight="1" x14ac:dyDescent="0.25">
      <c r="B46" s="442" t="s">
        <v>376</v>
      </c>
      <c r="C46" s="387" t="s">
        <v>377</v>
      </c>
      <c r="D46" s="390"/>
      <c r="E46" s="391"/>
      <c r="F46" s="392"/>
      <c r="G46" s="305">
        <f>ROUND(E46*F46,2)</f>
        <v>0</v>
      </c>
      <c r="H46" s="377"/>
      <c r="I46" s="151"/>
      <c r="J46" s="152"/>
      <c r="K46" s="457"/>
      <c r="L46" s="151"/>
      <c r="M46" s="152"/>
      <c r="N46" s="462"/>
      <c r="O46" s="151"/>
      <c r="P46" s="152"/>
      <c r="R46" s="139"/>
      <c r="S46" s="119"/>
      <c r="T46" s="118"/>
      <c r="U46" s="118"/>
    </row>
    <row r="47" spans="2:21" s="104" customFormat="1" ht="15" customHeight="1" x14ac:dyDescent="0.25">
      <c r="B47" s="443" t="s">
        <v>378</v>
      </c>
      <c r="C47" s="388" t="s">
        <v>379</v>
      </c>
      <c r="D47" s="380" t="s">
        <v>233</v>
      </c>
      <c r="E47" s="381">
        <v>3</v>
      </c>
      <c r="F47" s="382">
        <v>471.14</v>
      </c>
      <c r="G47" s="305">
        <f>ROUND(E47*F47,2)</f>
        <v>1413.42</v>
      </c>
      <c r="H47" s="377"/>
      <c r="I47" s="151">
        <f>ROUND(J47/$G47,4)</f>
        <v>1</v>
      </c>
      <c r="J47" s="152">
        <v>1413.42</v>
      </c>
      <c r="K47" s="457"/>
      <c r="L47" s="151">
        <f>ROUND(M47/$G47,4)</f>
        <v>0</v>
      </c>
      <c r="M47" s="152">
        <v>0</v>
      </c>
      <c r="N47" s="462"/>
      <c r="O47" s="151">
        <f>ROUND(P47/$G47,4)</f>
        <v>0</v>
      </c>
      <c r="P47" s="152"/>
      <c r="R47" s="139"/>
      <c r="S47" s="119"/>
      <c r="T47" s="118"/>
      <c r="U47" s="118"/>
    </row>
    <row r="48" spans="2:21" s="104" customFormat="1" ht="15" customHeight="1" x14ac:dyDescent="0.25">
      <c r="B48" s="442" t="s">
        <v>380</v>
      </c>
      <c r="C48" s="387" t="s">
        <v>381</v>
      </c>
      <c r="D48" s="390"/>
      <c r="E48" s="391"/>
      <c r="F48" s="392"/>
      <c r="G48" s="305">
        <f t="shared" ref="G48:G52" si="23">ROUND(E48*F48,2)</f>
        <v>0</v>
      </c>
      <c r="H48" s="377"/>
      <c r="I48" s="151"/>
      <c r="J48" s="152"/>
      <c r="K48" s="457"/>
      <c r="L48" s="151"/>
      <c r="M48" s="152"/>
      <c r="N48" s="462"/>
      <c r="O48" s="151"/>
      <c r="P48" s="152"/>
      <c r="R48" s="139"/>
      <c r="S48" s="119"/>
      <c r="T48" s="118"/>
      <c r="U48" s="118"/>
    </row>
    <row r="49" spans="2:21" s="104" customFormat="1" ht="15" customHeight="1" x14ac:dyDescent="0.25">
      <c r="B49" s="443" t="s">
        <v>382</v>
      </c>
      <c r="C49" s="388" t="s">
        <v>383</v>
      </c>
      <c r="D49" s="380" t="s">
        <v>101</v>
      </c>
      <c r="E49" s="381">
        <v>50.6</v>
      </c>
      <c r="F49" s="382">
        <v>38.21</v>
      </c>
      <c r="G49" s="305">
        <f t="shared" si="23"/>
        <v>1933.43</v>
      </c>
      <c r="H49" s="377"/>
      <c r="I49" s="151">
        <f t="shared" ref="I49:I51" si="24">ROUND(J49/$G49,4)</f>
        <v>0</v>
      </c>
      <c r="J49" s="152">
        <v>0</v>
      </c>
      <c r="K49" s="457"/>
      <c r="L49" s="151">
        <f t="shared" ref="L49:L51" si="25">ROUND(M49/$G49,4)</f>
        <v>0</v>
      </c>
      <c r="M49" s="152">
        <v>0</v>
      </c>
      <c r="N49" s="462"/>
      <c r="O49" s="151">
        <f t="shared" ref="O49:O51" si="26">ROUND(P49/$G49,4)</f>
        <v>0</v>
      </c>
      <c r="P49" s="152"/>
      <c r="R49" s="139"/>
      <c r="S49" s="119"/>
      <c r="T49" s="118"/>
      <c r="U49" s="118"/>
    </row>
    <row r="50" spans="2:21" s="104" customFormat="1" ht="15" customHeight="1" x14ac:dyDescent="0.25">
      <c r="B50" s="443" t="s">
        <v>384</v>
      </c>
      <c r="C50" s="388" t="s">
        <v>385</v>
      </c>
      <c r="D50" s="380" t="s">
        <v>145</v>
      </c>
      <c r="E50" s="381">
        <v>170</v>
      </c>
      <c r="F50" s="382">
        <v>10.43</v>
      </c>
      <c r="G50" s="305">
        <f t="shared" si="23"/>
        <v>1773.1</v>
      </c>
      <c r="H50" s="377"/>
      <c r="I50" s="151">
        <f t="shared" si="24"/>
        <v>0</v>
      </c>
      <c r="J50" s="152">
        <v>0</v>
      </c>
      <c r="K50" s="457"/>
      <c r="L50" s="151">
        <f t="shared" si="25"/>
        <v>0</v>
      </c>
      <c r="M50" s="152">
        <v>0</v>
      </c>
      <c r="N50" s="462"/>
      <c r="O50" s="151">
        <f t="shared" si="26"/>
        <v>0</v>
      </c>
      <c r="P50" s="152"/>
      <c r="R50" s="139"/>
      <c r="S50" s="119"/>
      <c r="T50" s="118"/>
      <c r="U50" s="118"/>
    </row>
    <row r="51" spans="2:21" s="104" customFormat="1" ht="15" customHeight="1" x14ac:dyDescent="0.25">
      <c r="B51" s="443" t="s">
        <v>386</v>
      </c>
      <c r="C51" s="388" t="s">
        <v>387</v>
      </c>
      <c r="D51" s="380" t="s">
        <v>233</v>
      </c>
      <c r="E51" s="381">
        <v>4</v>
      </c>
      <c r="F51" s="382">
        <v>361.47</v>
      </c>
      <c r="G51" s="305">
        <f t="shared" si="23"/>
        <v>1445.88</v>
      </c>
      <c r="H51" s="377"/>
      <c r="I51" s="151">
        <f t="shared" si="24"/>
        <v>0</v>
      </c>
      <c r="J51" s="152">
        <v>0</v>
      </c>
      <c r="K51" s="457"/>
      <c r="L51" s="151">
        <f t="shared" si="25"/>
        <v>0</v>
      </c>
      <c r="M51" s="152">
        <v>0</v>
      </c>
      <c r="N51" s="462"/>
      <c r="O51" s="151">
        <f t="shared" si="26"/>
        <v>0</v>
      </c>
      <c r="P51" s="152"/>
      <c r="R51" s="139"/>
      <c r="S51" s="119"/>
      <c r="T51" s="118"/>
      <c r="U51" s="118"/>
    </row>
    <row r="52" spans="2:21" s="104" customFormat="1" ht="15" customHeight="1" x14ac:dyDescent="0.25">
      <c r="B52" s="441" t="s">
        <v>388</v>
      </c>
      <c r="C52" s="386" t="s">
        <v>389</v>
      </c>
      <c r="D52" s="393"/>
      <c r="E52" s="394"/>
      <c r="F52" s="395"/>
      <c r="G52" s="305">
        <f t="shared" si="23"/>
        <v>0</v>
      </c>
      <c r="H52" s="377"/>
      <c r="I52" s="151"/>
      <c r="J52" s="152"/>
      <c r="K52" s="457"/>
      <c r="L52" s="151"/>
      <c r="M52" s="152"/>
      <c r="N52" s="462"/>
      <c r="O52" s="151"/>
      <c r="P52" s="152"/>
      <c r="R52" s="139"/>
      <c r="S52" s="119"/>
      <c r="T52" s="118"/>
      <c r="U52" s="118"/>
    </row>
    <row r="53" spans="2:21" s="104" customFormat="1" ht="15" customHeight="1" x14ac:dyDescent="0.25">
      <c r="B53" s="442" t="s">
        <v>390</v>
      </c>
      <c r="C53" s="387" t="s">
        <v>343</v>
      </c>
      <c r="D53" s="390"/>
      <c r="E53" s="391"/>
      <c r="F53" s="392"/>
      <c r="G53" s="306"/>
      <c r="H53" s="377"/>
      <c r="I53" s="151"/>
      <c r="J53" s="152"/>
      <c r="K53" s="457"/>
      <c r="L53" s="151"/>
      <c r="M53" s="152"/>
      <c r="N53" s="462"/>
      <c r="O53" s="151"/>
      <c r="P53" s="152"/>
      <c r="R53" s="139"/>
      <c r="S53" s="119"/>
      <c r="T53" s="118"/>
      <c r="U53" s="118"/>
    </row>
    <row r="54" spans="2:21" s="104" customFormat="1" ht="15" customHeight="1" x14ac:dyDescent="0.25">
      <c r="B54" s="443" t="s">
        <v>391</v>
      </c>
      <c r="C54" s="388" t="s">
        <v>392</v>
      </c>
      <c r="D54" s="380" t="s">
        <v>234</v>
      </c>
      <c r="E54" s="381">
        <v>56.3</v>
      </c>
      <c r="F54" s="382">
        <v>22.11</v>
      </c>
      <c r="G54" s="305">
        <f t="shared" ref="G54:G58" si="27">ROUND(E54*F54,2)</f>
        <v>1244.79</v>
      </c>
      <c r="H54" s="377"/>
      <c r="I54" s="151">
        <f t="shared" ref="I54:I58" si="28">ROUND(J54/$G54,4)</f>
        <v>1</v>
      </c>
      <c r="J54" s="152">
        <v>1244.79</v>
      </c>
      <c r="K54" s="457"/>
      <c r="L54" s="151">
        <f t="shared" ref="L54:L58" si="29">ROUND(M54/$G54,4)</f>
        <v>0</v>
      </c>
      <c r="M54" s="152">
        <v>0</v>
      </c>
      <c r="N54" s="462"/>
      <c r="O54" s="151">
        <f t="shared" ref="O54:O58" si="30">ROUND(P54/$G54,4)</f>
        <v>0</v>
      </c>
      <c r="P54" s="152"/>
      <c r="R54" s="139"/>
      <c r="S54" s="119"/>
      <c r="T54" s="118"/>
      <c r="U54" s="118"/>
    </row>
    <row r="55" spans="2:21" s="104" customFormat="1" ht="15" customHeight="1" x14ac:dyDescent="0.25">
      <c r="B55" s="443" t="s">
        <v>393</v>
      </c>
      <c r="C55" s="388" t="s">
        <v>394</v>
      </c>
      <c r="D55" s="396" t="s">
        <v>234</v>
      </c>
      <c r="E55" s="397">
        <v>12</v>
      </c>
      <c r="F55" s="398">
        <v>42.31</v>
      </c>
      <c r="G55" s="305">
        <f t="shared" si="27"/>
        <v>507.72</v>
      </c>
      <c r="H55" s="377"/>
      <c r="I55" s="151">
        <f t="shared" si="28"/>
        <v>1</v>
      </c>
      <c r="J55" s="152">
        <v>507.72</v>
      </c>
      <c r="K55" s="457"/>
      <c r="L55" s="151">
        <f t="shared" si="29"/>
        <v>0</v>
      </c>
      <c r="M55" s="152">
        <v>0</v>
      </c>
      <c r="N55" s="462"/>
      <c r="O55" s="151">
        <f t="shared" si="30"/>
        <v>0</v>
      </c>
      <c r="P55" s="152"/>
      <c r="R55" s="139"/>
      <c r="S55" s="119"/>
      <c r="T55" s="118"/>
      <c r="U55" s="118"/>
    </row>
    <row r="56" spans="2:21" s="104" customFormat="1" ht="15" customHeight="1" x14ac:dyDescent="0.25">
      <c r="B56" s="443" t="s">
        <v>395</v>
      </c>
      <c r="C56" s="389" t="s">
        <v>349</v>
      </c>
      <c r="D56" s="380" t="s">
        <v>234</v>
      </c>
      <c r="E56" s="381">
        <v>55.38</v>
      </c>
      <c r="F56" s="382">
        <v>18.98</v>
      </c>
      <c r="G56" s="305">
        <f t="shared" si="27"/>
        <v>1051.1099999999999</v>
      </c>
      <c r="H56" s="377"/>
      <c r="I56" s="151">
        <f t="shared" si="28"/>
        <v>1</v>
      </c>
      <c r="J56" s="152">
        <v>1051.1099999999999</v>
      </c>
      <c r="K56" s="457"/>
      <c r="L56" s="151">
        <f t="shared" si="29"/>
        <v>0</v>
      </c>
      <c r="M56" s="152">
        <v>0</v>
      </c>
      <c r="N56" s="462"/>
      <c r="O56" s="151">
        <f t="shared" si="30"/>
        <v>0</v>
      </c>
      <c r="P56" s="152"/>
      <c r="R56" s="139"/>
      <c r="S56" s="119"/>
      <c r="T56" s="118"/>
      <c r="U56" s="118"/>
    </row>
    <row r="57" spans="2:21" s="104" customFormat="1" ht="15" customHeight="1" x14ac:dyDescent="0.25">
      <c r="B57" s="443" t="s">
        <v>396</v>
      </c>
      <c r="C57" s="388" t="s">
        <v>397</v>
      </c>
      <c r="D57" s="380" t="s">
        <v>101</v>
      </c>
      <c r="E57" s="381">
        <v>547.38</v>
      </c>
      <c r="F57" s="382">
        <v>4.25</v>
      </c>
      <c r="G57" s="305">
        <f t="shared" si="27"/>
        <v>2326.37</v>
      </c>
      <c r="H57" s="377"/>
      <c r="I57" s="151">
        <f t="shared" si="28"/>
        <v>1</v>
      </c>
      <c r="J57" s="152">
        <v>2326.37</v>
      </c>
      <c r="K57" s="457"/>
      <c r="L57" s="151">
        <f t="shared" si="29"/>
        <v>0</v>
      </c>
      <c r="M57" s="152">
        <v>0</v>
      </c>
      <c r="N57" s="462"/>
      <c r="O57" s="151">
        <f t="shared" si="30"/>
        <v>0</v>
      </c>
      <c r="P57" s="152"/>
      <c r="R57" s="139"/>
      <c r="S57" s="119"/>
      <c r="T57" s="118"/>
      <c r="U57" s="118"/>
    </row>
    <row r="58" spans="2:21" s="104" customFormat="1" ht="15" customHeight="1" x14ac:dyDescent="0.25">
      <c r="B58" s="443" t="s">
        <v>398</v>
      </c>
      <c r="C58" s="389" t="s">
        <v>399</v>
      </c>
      <c r="D58" s="380" t="s">
        <v>101</v>
      </c>
      <c r="E58" s="381">
        <v>547.38</v>
      </c>
      <c r="F58" s="382">
        <v>16.02</v>
      </c>
      <c r="G58" s="305">
        <f t="shared" si="27"/>
        <v>8769.0300000000007</v>
      </c>
      <c r="H58" s="377"/>
      <c r="I58" s="151">
        <f t="shared" si="28"/>
        <v>1</v>
      </c>
      <c r="J58" s="152">
        <v>8769.0300000000007</v>
      </c>
      <c r="K58" s="457"/>
      <c r="L58" s="151">
        <f t="shared" si="29"/>
        <v>0</v>
      </c>
      <c r="M58" s="152">
        <v>0</v>
      </c>
      <c r="N58" s="462"/>
      <c r="O58" s="151">
        <f t="shared" si="30"/>
        <v>0</v>
      </c>
      <c r="P58" s="152"/>
      <c r="R58" s="139"/>
      <c r="S58" s="119"/>
      <c r="T58" s="118"/>
      <c r="U58" s="118"/>
    </row>
    <row r="59" spans="2:21" s="104" customFormat="1" ht="15" customHeight="1" x14ac:dyDescent="0.25">
      <c r="B59" s="442" t="s">
        <v>400</v>
      </c>
      <c r="C59" s="387" t="s">
        <v>401</v>
      </c>
      <c r="D59" s="390"/>
      <c r="E59" s="391"/>
      <c r="F59" s="392"/>
      <c r="G59" s="307">
        <f>ROUND(E59*F59,2)</f>
        <v>0</v>
      </c>
      <c r="H59" s="377"/>
      <c r="I59" s="151"/>
      <c r="J59" s="152"/>
      <c r="K59" s="457"/>
      <c r="L59" s="151"/>
      <c r="M59" s="152"/>
      <c r="N59" s="462"/>
      <c r="O59" s="151"/>
      <c r="P59" s="152"/>
      <c r="R59" s="139"/>
      <c r="S59" s="119"/>
      <c r="T59" s="118"/>
      <c r="U59" s="118"/>
    </row>
    <row r="60" spans="2:21" s="104" customFormat="1" ht="15" customHeight="1" x14ac:dyDescent="0.25">
      <c r="B60" s="443" t="s">
        <v>402</v>
      </c>
      <c r="C60" s="388" t="s">
        <v>403</v>
      </c>
      <c r="D60" s="380" t="s">
        <v>101</v>
      </c>
      <c r="E60" s="381">
        <v>55.28</v>
      </c>
      <c r="F60" s="382">
        <v>72.37</v>
      </c>
      <c r="G60" s="305">
        <f t="shared" ref="G60:G69" si="31">ROUND(E60*F60,2)</f>
        <v>4000.61</v>
      </c>
      <c r="H60" s="377"/>
      <c r="I60" s="151">
        <f t="shared" ref="I60:I64" si="32">ROUND(J60/$G60,4)</f>
        <v>0</v>
      </c>
      <c r="J60" s="152">
        <v>0</v>
      </c>
      <c r="K60" s="457"/>
      <c r="L60" s="151">
        <f t="shared" ref="L60:L64" si="33">ROUND(M60/$G60,4)</f>
        <v>1</v>
      </c>
      <c r="M60" s="152">
        <v>4000.61</v>
      </c>
      <c r="N60" s="462"/>
      <c r="O60" s="151">
        <f t="shared" ref="O60:O64" si="34">ROUND(P60/$G60,4)</f>
        <v>0</v>
      </c>
      <c r="P60" s="152"/>
      <c r="R60" s="139"/>
      <c r="S60" s="119"/>
      <c r="T60" s="118"/>
      <c r="U60" s="118"/>
    </row>
    <row r="61" spans="2:21" s="104" customFormat="1" ht="15" customHeight="1" x14ac:dyDescent="0.25">
      <c r="B61" s="443" t="s">
        <v>404</v>
      </c>
      <c r="C61" s="389" t="s">
        <v>405</v>
      </c>
      <c r="D61" s="380" t="s">
        <v>101</v>
      </c>
      <c r="E61" s="381">
        <v>547.38</v>
      </c>
      <c r="F61" s="382">
        <v>49.11</v>
      </c>
      <c r="G61" s="305">
        <f t="shared" si="31"/>
        <v>26881.83</v>
      </c>
      <c r="H61" s="377"/>
      <c r="I61" s="151">
        <f t="shared" si="32"/>
        <v>0</v>
      </c>
      <c r="J61" s="152">
        <v>0</v>
      </c>
      <c r="K61" s="457"/>
      <c r="L61" s="151">
        <f t="shared" si="33"/>
        <v>1</v>
      </c>
      <c r="M61" s="152">
        <v>26881.83</v>
      </c>
      <c r="N61" s="462"/>
      <c r="O61" s="151">
        <f t="shared" si="34"/>
        <v>0</v>
      </c>
      <c r="P61" s="152"/>
      <c r="R61" s="139"/>
      <c r="S61" s="119"/>
      <c r="T61" s="118"/>
      <c r="U61" s="118"/>
    </row>
    <row r="62" spans="2:21" s="104" customFormat="1" ht="15" customHeight="1" x14ac:dyDescent="0.25">
      <c r="B62" s="443" t="s">
        <v>406</v>
      </c>
      <c r="C62" s="388" t="s">
        <v>407</v>
      </c>
      <c r="D62" s="380" t="s">
        <v>145</v>
      </c>
      <c r="E62" s="381">
        <v>404</v>
      </c>
      <c r="F62" s="382">
        <v>16.32</v>
      </c>
      <c r="G62" s="305">
        <f t="shared" si="31"/>
        <v>6593.28</v>
      </c>
      <c r="H62" s="377"/>
      <c r="I62" s="151">
        <f t="shared" si="32"/>
        <v>0</v>
      </c>
      <c r="J62" s="152">
        <v>0</v>
      </c>
      <c r="K62" s="457"/>
      <c r="L62" s="151">
        <f t="shared" si="33"/>
        <v>1</v>
      </c>
      <c r="M62" s="152">
        <v>6593.28</v>
      </c>
      <c r="N62" s="462"/>
      <c r="O62" s="151">
        <f t="shared" si="34"/>
        <v>0</v>
      </c>
      <c r="P62" s="152"/>
      <c r="R62" s="139"/>
      <c r="S62" s="119"/>
      <c r="T62" s="118"/>
      <c r="U62" s="118"/>
    </row>
    <row r="63" spans="2:21" s="104" customFormat="1" ht="15" customHeight="1" x14ac:dyDescent="0.25">
      <c r="B63" s="443" t="s">
        <v>408</v>
      </c>
      <c r="C63" s="388" t="s">
        <v>409</v>
      </c>
      <c r="D63" s="380"/>
      <c r="E63" s="381">
        <v>547.38</v>
      </c>
      <c r="F63" s="382">
        <v>2.92</v>
      </c>
      <c r="G63" s="305">
        <f t="shared" si="31"/>
        <v>1598.35</v>
      </c>
      <c r="H63" s="377"/>
      <c r="I63" s="151">
        <f t="shared" si="32"/>
        <v>0</v>
      </c>
      <c r="J63" s="152">
        <v>0</v>
      </c>
      <c r="K63" s="457"/>
      <c r="L63" s="151">
        <f t="shared" si="33"/>
        <v>1</v>
      </c>
      <c r="M63" s="152">
        <v>1598.35</v>
      </c>
      <c r="N63" s="462"/>
      <c r="O63" s="151">
        <f t="shared" si="34"/>
        <v>0</v>
      </c>
      <c r="P63" s="152"/>
      <c r="R63" s="139"/>
      <c r="S63" s="119"/>
      <c r="T63" s="118"/>
      <c r="U63" s="118"/>
    </row>
    <row r="64" spans="2:21" s="104" customFormat="1" ht="15" customHeight="1" x14ac:dyDescent="0.25">
      <c r="B64" s="443" t="s">
        <v>410</v>
      </c>
      <c r="C64" s="388" t="s">
        <v>411</v>
      </c>
      <c r="D64" s="380" t="s">
        <v>145</v>
      </c>
      <c r="E64" s="381">
        <v>158.4</v>
      </c>
      <c r="F64" s="382">
        <v>4.4800000000000004</v>
      </c>
      <c r="G64" s="305">
        <f t="shared" si="31"/>
        <v>709.63</v>
      </c>
      <c r="H64" s="377"/>
      <c r="I64" s="151">
        <f t="shared" si="32"/>
        <v>0</v>
      </c>
      <c r="J64" s="152">
        <v>0</v>
      </c>
      <c r="K64" s="457"/>
      <c r="L64" s="151">
        <f t="shared" si="33"/>
        <v>1</v>
      </c>
      <c r="M64" s="152">
        <v>709.63</v>
      </c>
      <c r="N64" s="462"/>
      <c r="O64" s="151">
        <f t="shared" si="34"/>
        <v>0</v>
      </c>
      <c r="P64" s="152"/>
      <c r="R64" s="139"/>
      <c r="S64" s="119"/>
      <c r="T64" s="118"/>
      <c r="U64" s="118"/>
    </row>
    <row r="65" spans="2:21" s="104" customFormat="1" ht="15" customHeight="1" x14ac:dyDescent="0.25">
      <c r="B65" s="442" t="s">
        <v>412</v>
      </c>
      <c r="C65" s="387" t="s">
        <v>413</v>
      </c>
      <c r="D65" s="390"/>
      <c r="E65" s="391"/>
      <c r="F65" s="392"/>
      <c r="G65" s="305">
        <f t="shared" si="31"/>
        <v>0</v>
      </c>
      <c r="H65" s="377"/>
      <c r="I65" s="151"/>
      <c r="J65" s="152"/>
      <c r="K65" s="457"/>
      <c r="L65" s="151"/>
      <c r="M65" s="152"/>
      <c r="N65" s="462"/>
      <c r="O65" s="151"/>
      <c r="P65" s="152"/>
      <c r="R65" s="139"/>
      <c r="S65" s="119"/>
      <c r="T65" s="118"/>
      <c r="U65" s="118"/>
    </row>
    <row r="66" spans="2:21" s="104" customFormat="1" ht="15" customHeight="1" x14ac:dyDescent="0.25">
      <c r="B66" s="443" t="s">
        <v>414</v>
      </c>
      <c r="C66" s="388" t="s">
        <v>415</v>
      </c>
      <c r="D66" s="380" t="s">
        <v>101</v>
      </c>
      <c r="E66" s="381">
        <v>16.25</v>
      </c>
      <c r="F66" s="382">
        <v>46.94</v>
      </c>
      <c r="G66" s="305">
        <f t="shared" si="31"/>
        <v>762.78</v>
      </c>
      <c r="H66" s="377"/>
      <c r="I66" s="151">
        <f t="shared" ref="I66:I69" si="35">ROUND(J66/$G66,4)</f>
        <v>0</v>
      </c>
      <c r="J66" s="152">
        <v>0</v>
      </c>
      <c r="K66" s="457"/>
      <c r="L66" s="151">
        <f t="shared" ref="L66:L69" si="36">ROUND(M66/$G66,4)</f>
        <v>1</v>
      </c>
      <c r="M66" s="152">
        <v>762.78</v>
      </c>
      <c r="N66" s="462"/>
      <c r="O66" s="151">
        <f t="shared" ref="O66:O69" si="37">ROUND(P66/$G66,4)</f>
        <v>0</v>
      </c>
      <c r="P66" s="152"/>
      <c r="R66" s="139"/>
      <c r="S66" s="119"/>
      <c r="T66" s="118"/>
      <c r="U66" s="118"/>
    </row>
    <row r="67" spans="2:21" s="104" customFormat="1" ht="15" customHeight="1" x14ac:dyDescent="0.25">
      <c r="B67" s="443" t="s">
        <v>416</v>
      </c>
      <c r="C67" s="388" t="s">
        <v>417</v>
      </c>
      <c r="D67" s="380" t="s">
        <v>101</v>
      </c>
      <c r="E67" s="381">
        <v>86.65</v>
      </c>
      <c r="F67" s="382">
        <v>53.06</v>
      </c>
      <c r="G67" s="305">
        <f t="shared" si="31"/>
        <v>4597.6499999999996</v>
      </c>
      <c r="H67" s="377"/>
      <c r="I67" s="151">
        <f t="shared" si="35"/>
        <v>0</v>
      </c>
      <c r="J67" s="152">
        <v>0</v>
      </c>
      <c r="K67" s="457"/>
      <c r="L67" s="151">
        <f t="shared" si="36"/>
        <v>1</v>
      </c>
      <c r="M67" s="152">
        <v>4597.6499999999996</v>
      </c>
      <c r="N67" s="462"/>
      <c r="O67" s="151">
        <f t="shared" si="37"/>
        <v>0</v>
      </c>
      <c r="P67" s="152"/>
      <c r="R67" s="139"/>
      <c r="S67" s="119"/>
      <c r="T67" s="118"/>
      <c r="U67" s="118"/>
    </row>
    <row r="68" spans="2:21" s="104" customFormat="1" ht="15" customHeight="1" x14ac:dyDescent="0.25">
      <c r="B68" s="443" t="s">
        <v>418</v>
      </c>
      <c r="C68" s="388" t="s">
        <v>419</v>
      </c>
      <c r="D68" s="380" t="s">
        <v>101</v>
      </c>
      <c r="E68" s="381">
        <v>86.65</v>
      </c>
      <c r="F68" s="382">
        <v>2.92</v>
      </c>
      <c r="G68" s="305">
        <f t="shared" si="31"/>
        <v>253.02</v>
      </c>
      <c r="H68" s="377"/>
      <c r="I68" s="151">
        <f t="shared" si="35"/>
        <v>0</v>
      </c>
      <c r="J68" s="152">
        <v>0</v>
      </c>
      <c r="K68" s="457"/>
      <c r="L68" s="151">
        <f t="shared" si="36"/>
        <v>1</v>
      </c>
      <c r="M68" s="152">
        <v>253.02</v>
      </c>
      <c r="N68" s="462"/>
      <c r="O68" s="151">
        <f t="shared" si="37"/>
        <v>0</v>
      </c>
      <c r="P68" s="152"/>
      <c r="R68" s="139"/>
      <c r="S68" s="119"/>
      <c r="T68" s="118"/>
      <c r="U68" s="118"/>
    </row>
    <row r="69" spans="2:21" s="104" customFormat="1" ht="15" customHeight="1" x14ac:dyDescent="0.25">
      <c r="B69" s="443" t="s">
        <v>420</v>
      </c>
      <c r="C69" s="388" t="s">
        <v>411</v>
      </c>
      <c r="D69" s="380" t="s">
        <v>145</v>
      </c>
      <c r="E69" s="381">
        <v>110</v>
      </c>
      <c r="F69" s="382">
        <v>4.4800000000000004</v>
      </c>
      <c r="G69" s="305">
        <f t="shared" si="31"/>
        <v>492.8</v>
      </c>
      <c r="H69" s="377"/>
      <c r="I69" s="151">
        <f t="shared" si="35"/>
        <v>0</v>
      </c>
      <c r="J69" s="152">
        <v>0</v>
      </c>
      <c r="K69" s="457"/>
      <c r="L69" s="151">
        <f t="shared" si="36"/>
        <v>1</v>
      </c>
      <c r="M69" s="152">
        <v>492.8</v>
      </c>
      <c r="N69" s="462"/>
      <c r="O69" s="151">
        <f t="shared" si="37"/>
        <v>0</v>
      </c>
      <c r="P69" s="152"/>
      <c r="R69" s="139"/>
      <c r="S69" s="119"/>
      <c r="T69" s="118"/>
      <c r="U69" s="118"/>
    </row>
    <row r="70" spans="2:21" s="104" customFormat="1" ht="15" customHeight="1" x14ac:dyDescent="0.25">
      <c r="B70" s="442" t="s">
        <v>421</v>
      </c>
      <c r="C70" s="387" t="s">
        <v>422</v>
      </c>
      <c r="D70" s="390"/>
      <c r="E70" s="391"/>
      <c r="F70" s="392"/>
      <c r="G70" s="306"/>
      <c r="H70" s="377"/>
      <c r="I70" s="151"/>
      <c r="J70" s="152"/>
      <c r="K70" s="457"/>
      <c r="L70" s="151"/>
      <c r="M70" s="152"/>
      <c r="N70" s="462"/>
      <c r="O70" s="151"/>
      <c r="P70" s="152"/>
      <c r="R70" s="139"/>
      <c r="S70" s="119"/>
      <c r="T70" s="118"/>
      <c r="U70" s="118"/>
    </row>
    <row r="71" spans="2:21" s="104" customFormat="1" ht="15" customHeight="1" x14ac:dyDescent="0.25">
      <c r="B71" s="443" t="s">
        <v>423</v>
      </c>
      <c r="C71" s="388" t="s">
        <v>424</v>
      </c>
      <c r="D71" s="380" t="s">
        <v>101</v>
      </c>
      <c r="E71" s="381">
        <v>64</v>
      </c>
      <c r="F71" s="382">
        <v>49.11</v>
      </c>
      <c r="G71" s="305">
        <f t="shared" ref="G71:G74" si="38">ROUND(E71*F71,2)</f>
        <v>3143.04</v>
      </c>
      <c r="H71" s="377"/>
      <c r="I71" s="151">
        <f t="shared" ref="I71:I74" si="39">ROUND(J71/$G71,4)</f>
        <v>0</v>
      </c>
      <c r="J71" s="152">
        <v>0</v>
      </c>
      <c r="K71" s="457"/>
      <c r="L71" s="151">
        <f t="shared" ref="L71:L74" si="40">ROUND(M71/$G71,4)</f>
        <v>1</v>
      </c>
      <c r="M71" s="152">
        <v>3143.04</v>
      </c>
      <c r="N71" s="462"/>
      <c r="O71" s="151">
        <f t="shared" ref="O71:O74" si="41">ROUND(P71/$G71,4)</f>
        <v>0</v>
      </c>
      <c r="P71" s="152"/>
      <c r="R71" s="139"/>
      <c r="S71" s="119"/>
      <c r="T71" s="118"/>
      <c r="U71" s="118"/>
    </row>
    <row r="72" spans="2:21" s="104" customFormat="1" ht="15" customHeight="1" x14ac:dyDescent="0.25">
      <c r="B72" s="443" t="s">
        <v>425</v>
      </c>
      <c r="C72" s="388" t="s">
        <v>426</v>
      </c>
      <c r="D72" s="380" t="s">
        <v>101</v>
      </c>
      <c r="E72" s="381">
        <v>2.8</v>
      </c>
      <c r="F72" s="382">
        <v>87.93</v>
      </c>
      <c r="G72" s="305">
        <f t="shared" si="38"/>
        <v>246.2</v>
      </c>
      <c r="H72" s="377"/>
      <c r="I72" s="151">
        <f t="shared" si="39"/>
        <v>0</v>
      </c>
      <c r="J72" s="152">
        <v>0</v>
      </c>
      <c r="K72" s="457"/>
      <c r="L72" s="151">
        <f t="shared" si="40"/>
        <v>1</v>
      </c>
      <c r="M72" s="152">
        <v>246.2</v>
      </c>
      <c r="N72" s="462"/>
      <c r="O72" s="151">
        <f t="shared" si="41"/>
        <v>0</v>
      </c>
      <c r="P72" s="152"/>
      <c r="R72" s="139"/>
      <c r="S72" s="119"/>
      <c r="T72" s="118"/>
      <c r="U72" s="118"/>
    </row>
    <row r="73" spans="2:21" s="104" customFormat="1" ht="15" customHeight="1" x14ac:dyDescent="0.25">
      <c r="B73" s="443" t="s">
        <v>427</v>
      </c>
      <c r="C73" s="388" t="s">
        <v>428</v>
      </c>
      <c r="D73" s="380" t="s">
        <v>145</v>
      </c>
      <c r="E73" s="381">
        <v>28</v>
      </c>
      <c r="F73" s="382">
        <v>51.24</v>
      </c>
      <c r="G73" s="305">
        <f t="shared" si="38"/>
        <v>1434.72</v>
      </c>
      <c r="H73" s="377"/>
      <c r="I73" s="151">
        <f t="shared" si="39"/>
        <v>0</v>
      </c>
      <c r="J73" s="152">
        <v>0</v>
      </c>
      <c r="K73" s="457"/>
      <c r="L73" s="151">
        <f t="shared" si="40"/>
        <v>1</v>
      </c>
      <c r="M73" s="152">
        <v>1434.72</v>
      </c>
      <c r="N73" s="462"/>
      <c r="O73" s="151">
        <f t="shared" si="41"/>
        <v>0</v>
      </c>
      <c r="P73" s="152"/>
      <c r="R73" s="139"/>
      <c r="S73" s="119"/>
      <c r="T73" s="118"/>
      <c r="U73" s="118"/>
    </row>
    <row r="74" spans="2:21" s="104" customFormat="1" ht="15" customHeight="1" x14ac:dyDescent="0.25">
      <c r="B74" s="443" t="s">
        <v>429</v>
      </c>
      <c r="C74" s="388" t="s">
        <v>409</v>
      </c>
      <c r="D74" s="380" t="s">
        <v>101</v>
      </c>
      <c r="E74" s="381">
        <v>64</v>
      </c>
      <c r="F74" s="382">
        <v>2.92</v>
      </c>
      <c r="G74" s="305">
        <f t="shared" si="38"/>
        <v>186.88</v>
      </c>
      <c r="H74" s="377"/>
      <c r="I74" s="151">
        <f t="shared" si="39"/>
        <v>0</v>
      </c>
      <c r="J74" s="152">
        <v>0</v>
      </c>
      <c r="K74" s="457"/>
      <c r="L74" s="151">
        <f t="shared" si="40"/>
        <v>1</v>
      </c>
      <c r="M74" s="152">
        <v>186.88</v>
      </c>
      <c r="N74" s="462"/>
      <c r="O74" s="151">
        <f t="shared" si="41"/>
        <v>0</v>
      </c>
      <c r="P74" s="152"/>
      <c r="R74" s="139"/>
      <c r="S74" s="119"/>
      <c r="T74" s="118"/>
      <c r="U74" s="118"/>
    </row>
    <row r="75" spans="2:21" s="104" customFormat="1" ht="15" customHeight="1" x14ac:dyDescent="0.25">
      <c r="B75" s="442" t="s">
        <v>430</v>
      </c>
      <c r="C75" s="387" t="s">
        <v>431</v>
      </c>
      <c r="D75" s="390"/>
      <c r="E75" s="391"/>
      <c r="F75" s="392"/>
      <c r="G75" s="306"/>
      <c r="H75" s="377"/>
      <c r="I75" s="151"/>
      <c r="J75" s="152"/>
      <c r="K75" s="457"/>
      <c r="L75" s="151"/>
      <c r="M75" s="152"/>
      <c r="N75" s="462"/>
      <c r="O75" s="151"/>
      <c r="P75" s="152"/>
      <c r="R75" s="139"/>
      <c r="S75" s="119"/>
      <c r="T75" s="118"/>
      <c r="U75" s="118"/>
    </row>
    <row r="76" spans="2:21" s="104" customFormat="1" ht="15" customHeight="1" x14ac:dyDescent="0.25">
      <c r="B76" s="443" t="s">
        <v>432</v>
      </c>
      <c r="C76" s="388" t="s">
        <v>433</v>
      </c>
      <c r="D76" s="380" t="s">
        <v>233</v>
      </c>
      <c r="E76" s="381">
        <v>32</v>
      </c>
      <c r="F76" s="382">
        <v>202.81</v>
      </c>
      <c r="G76" s="305">
        <f t="shared" ref="G76:G77" si="42">ROUND(E76*F76,2)</f>
        <v>6489.92</v>
      </c>
      <c r="H76" s="378"/>
      <c r="I76" s="151">
        <f t="shared" ref="I76:I77" si="43">ROUND(J76/$G76,4)</f>
        <v>1</v>
      </c>
      <c r="J76" s="152">
        <v>6489.92</v>
      </c>
      <c r="K76" s="458"/>
      <c r="L76" s="151">
        <f t="shared" ref="L76:L77" si="44">ROUND(M76/$G76,4)</f>
        <v>0</v>
      </c>
      <c r="M76" s="152">
        <v>0</v>
      </c>
      <c r="N76" s="462"/>
      <c r="O76" s="151">
        <f t="shared" ref="O76:O77" si="45">ROUND(P76/$G76,4)</f>
        <v>0</v>
      </c>
      <c r="P76" s="152"/>
      <c r="R76" s="139"/>
      <c r="S76" s="119"/>
      <c r="T76" s="118"/>
      <c r="U76" s="118"/>
    </row>
    <row r="77" spans="2:21" s="104" customFormat="1" ht="15" customHeight="1" x14ac:dyDescent="0.25">
      <c r="B77" s="443" t="s">
        <v>434</v>
      </c>
      <c r="C77" s="388" t="s">
        <v>435</v>
      </c>
      <c r="D77" s="380" t="s">
        <v>233</v>
      </c>
      <c r="E77" s="381">
        <v>32</v>
      </c>
      <c r="F77" s="382">
        <v>312.41000000000003</v>
      </c>
      <c r="G77" s="305">
        <f t="shared" si="42"/>
        <v>9997.1200000000008</v>
      </c>
      <c r="H77" s="100"/>
      <c r="I77" s="151">
        <f t="shared" si="43"/>
        <v>1</v>
      </c>
      <c r="J77" s="453">
        <v>9997.1200000000008</v>
      </c>
      <c r="K77" s="101"/>
      <c r="L77" s="151">
        <f t="shared" si="44"/>
        <v>0</v>
      </c>
      <c r="M77" s="453">
        <v>0</v>
      </c>
      <c r="N77" s="101"/>
      <c r="O77" s="151">
        <f t="shared" si="45"/>
        <v>0</v>
      </c>
      <c r="P77" s="453"/>
      <c r="R77" s="139"/>
      <c r="S77" s="119"/>
      <c r="T77" s="118"/>
      <c r="U77" s="118"/>
    </row>
    <row r="78" spans="2:21" s="104" customFormat="1" ht="15" customHeight="1" x14ac:dyDescent="0.25">
      <c r="B78" s="441" t="s">
        <v>436</v>
      </c>
      <c r="C78" s="386" t="s">
        <v>437</v>
      </c>
      <c r="D78" s="393"/>
      <c r="E78" s="394"/>
      <c r="F78" s="395"/>
      <c r="G78" s="306"/>
      <c r="H78" s="101"/>
      <c r="I78" s="459"/>
      <c r="J78" s="453"/>
      <c r="K78" s="101"/>
      <c r="L78" s="459"/>
      <c r="M78" s="453"/>
      <c r="N78" s="101"/>
      <c r="O78" s="459"/>
      <c r="P78" s="453"/>
      <c r="R78" s="139"/>
      <c r="S78" s="119"/>
      <c r="T78" s="118"/>
      <c r="U78" s="118"/>
    </row>
    <row r="79" spans="2:21" s="129" customFormat="1" ht="15" customHeight="1" x14ac:dyDescent="0.25">
      <c r="B79" s="442" t="s">
        <v>438</v>
      </c>
      <c r="C79" s="387" t="s">
        <v>439</v>
      </c>
      <c r="D79" s="390"/>
      <c r="E79" s="391"/>
      <c r="F79" s="392"/>
      <c r="G79" s="306"/>
      <c r="H79" s="101"/>
      <c r="I79" s="459"/>
      <c r="J79" s="453"/>
      <c r="K79" s="101"/>
      <c r="L79" s="459"/>
      <c r="M79" s="453"/>
      <c r="N79" s="101"/>
      <c r="O79" s="459"/>
      <c r="P79" s="453"/>
      <c r="R79" s="139"/>
      <c r="S79" s="131"/>
      <c r="T79" s="130"/>
      <c r="U79" s="130"/>
    </row>
    <row r="80" spans="2:21" s="104" customFormat="1" ht="15" customHeight="1" x14ac:dyDescent="0.25">
      <c r="B80" s="443" t="s">
        <v>440</v>
      </c>
      <c r="C80" s="388" t="s">
        <v>441</v>
      </c>
      <c r="D80" s="380" t="s">
        <v>234</v>
      </c>
      <c r="E80" s="381">
        <v>43.2</v>
      </c>
      <c r="F80" s="382">
        <v>56.41</v>
      </c>
      <c r="G80" s="305">
        <f t="shared" ref="G80:G84" si="46">ROUND(E80*F80,2)</f>
        <v>2436.91</v>
      </c>
      <c r="H80" s="100"/>
      <c r="I80" s="151">
        <f t="shared" ref="I80:I84" si="47">ROUND(J80/$G80,4)</f>
        <v>0</v>
      </c>
      <c r="J80" s="453">
        <v>0</v>
      </c>
      <c r="K80" s="101"/>
      <c r="L80" s="151">
        <f t="shared" ref="L80:L84" si="48">ROUND(M80/$G80,4)</f>
        <v>1</v>
      </c>
      <c r="M80" s="453">
        <v>2436.91</v>
      </c>
      <c r="N80" s="101"/>
      <c r="O80" s="151">
        <f t="shared" ref="O80:O84" si="49">ROUND(P80/$G80,4)</f>
        <v>0</v>
      </c>
      <c r="P80" s="453"/>
      <c r="R80" s="139"/>
      <c r="S80" s="119"/>
      <c r="T80" s="118"/>
      <c r="U80" s="118"/>
    </row>
    <row r="81" spans="2:21" s="104" customFormat="1" ht="15" customHeight="1" x14ac:dyDescent="0.25">
      <c r="B81" s="443" t="s">
        <v>442</v>
      </c>
      <c r="C81" s="388" t="s">
        <v>231</v>
      </c>
      <c r="D81" s="380" t="s">
        <v>234</v>
      </c>
      <c r="E81" s="381">
        <v>5.5</v>
      </c>
      <c r="F81" s="382">
        <v>42.31</v>
      </c>
      <c r="G81" s="305">
        <f t="shared" si="46"/>
        <v>232.71</v>
      </c>
      <c r="H81" s="101"/>
      <c r="I81" s="151">
        <f t="shared" si="47"/>
        <v>0</v>
      </c>
      <c r="J81" s="453">
        <v>0</v>
      </c>
      <c r="K81" s="101"/>
      <c r="L81" s="151">
        <f t="shared" si="48"/>
        <v>1</v>
      </c>
      <c r="M81" s="453">
        <v>232.71</v>
      </c>
      <c r="N81" s="101"/>
      <c r="O81" s="151">
        <f t="shared" si="49"/>
        <v>0</v>
      </c>
      <c r="P81" s="453"/>
      <c r="R81" s="139"/>
      <c r="S81" s="119"/>
      <c r="T81" s="118"/>
      <c r="U81" s="118"/>
    </row>
    <row r="82" spans="2:21" s="129" customFormat="1" ht="15" customHeight="1" x14ac:dyDescent="0.25">
      <c r="B82" s="443" t="s">
        <v>443</v>
      </c>
      <c r="C82" s="388" t="s">
        <v>444</v>
      </c>
      <c r="D82" s="380" t="s">
        <v>234</v>
      </c>
      <c r="E82" s="381">
        <v>47.13</v>
      </c>
      <c r="F82" s="382">
        <v>28.21</v>
      </c>
      <c r="G82" s="305">
        <f t="shared" si="46"/>
        <v>1329.54</v>
      </c>
      <c r="H82" s="100"/>
      <c r="I82" s="151">
        <f t="shared" si="47"/>
        <v>0</v>
      </c>
      <c r="J82" s="453">
        <v>0</v>
      </c>
      <c r="K82" s="101"/>
      <c r="L82" s="151">
        <f t="shared" si="48"/>
        <v>1</v>
      </c>
      <c r="M82" s="453">
        <v>1329.54</v>
      </c>
      <c r="N82" s="101"/>
      <c r="O82" s="151">
        <f t="shared" si="49"/>
        <v>0</v>
      </c>
      <c r="P82" s="453"/>
      <c r="R82" s="139"/>
      <c r="S82" s="131"/>
      <c r="T82" s="130"/>
      <c r="U82" s="130"/>
    </row>
    <row r="83" spans="2:21" s="104" customFormat="1" ht="15" customHeight="1" x14ac:dyDescent="0.25">
      <c r="B83" s="443" t="s">
        <v>445</v>
      </c>
      <c r="C83" s="389" t="s">
        <v>349</v>
      </c>
      <c r="D83" s="380" t="s">
        <v>234</v>
      </c>
      <c r="E83" s="381">
        <v>47.13</v>
      </c>
      <c r="F83" s="382">
        <v>18.98</v>
      </c>
      <c r="G83" s="305">
        <f t="shared" si="46"/>
        <v>894.53</v>
      </c>
      <c r="H83" s="102"/>
      <c r="I83" s="151">
        <f t="shared" si="47"/>
        <v>0</v>
      </c>
      <c r="J83" s="454">
        <v>0</v>
      </c>
      <c r="K83" s="102"/>
      <c r="L83" s="151">
        <f t="shared" si="48"/>
        <v>1</v>
      </c>
      <c r="M83" s="454">
        <v>894.53</v>
      </c>
      <c r="N83" s="102"/>
      <c r="O83" s="151">
        <f t="shared" si="49"/>
        <v>0</v>
      </c>
      <c r="P83" s="454"/>
      <c r="R83" s="139"/>
      <c r="S83" s="119"/>
      <c r="T83" s="118"/>
      <c r="U83" s="118"/>
    </row>
    <row r="84" spans="2:21" s="104" customFormat="1" ht="15" customHeight="1" x14ac:dyDescent="0.25">
      <c r="B84" s="443" t="s">
        <v>446</v>
      </c>
      <c r="C84" s="388" t="s">
        <v>447</v>
      </c>
      <c r="D84" s="380" t="s">
        <v>101</v>
      </c>
      <c r="E84" s="381">
        <v>115.95</v>
      </c>
      <c r="F84" s="382">
        <v>4.25</v>
      </c>
      <c r="G84" s="305">
        <f t="shared" si="46"/>
        <v>492.79</v>
      </c>
      <c r="H84" s="102"/>
      <c r="I84" s="151">
        <f t="shared" si="47"/>
        <v>0</v>
      </c>
      <c r="J84" s="454">
        <v>0</v>
      </c>
      <c r="K84" s="102"/>
      <c r="L84" s="151">
        <f t="shared" si="48"/>
        <v>1</v>
      </c>
      <c r="M84" s="454">
        <v>492.79</v>
      </c>
      <c r="N84" s="102"/>
      <c r="O84" s="151">
        <f t="shared" si="49"/>
        <v>0</v>
      </c>
      <c r="P84" s="454"/>
      <c r="R84" s="139"/>
      <c r="S84" s="119"/>
      <c r="T84" s="118"/>
      <c r="U84" s="118"/>
    </row>
    <row r="85" spans="2:21" ht="15" customHeight="1" x14ac:dyDescent="0.25">
      <c r="B85" s="442" t="s">
        <v>448</v>
      </c>
      <c r="C85" s="387" t="s">
        <v>449</v>
      </c>
      <c r="D85" s="390"/>
      <c r="E85" s="391"/>
      <c r="F85" s="392"/>
      <c r="G85" s="306"/>
      <c r="H85" s="124"/>
      <c r="I85" s="450"/>
      <c r="J85" s="446"/>
      <c r="K85" s="124"/>
      <c r="L85" s="446"/>
      <c r="M85" s="446"/>
      <c r="N85" s="125"/>
      <c r="O85" s="446"/>
      <c r="P85" s="446"/>
      <c r="R85" s="139"/>
    </row>
    <row r="86" spans="2:21" ht="15" customHeight="1" x14ac:dyDescent="0.25">
      <c r="B86" s="443" t="s">
        <v>450</v>
      </c>
      <c r="C86" s="388" t="s">
        <v>451</v>
      </c>
      <c r="D86" s="380" t="s">
        <v>101</v>
      </c>
      <c r="E86" s="381">
        <v>5.76</v>
      </c>
      <c r="F86" s="382">
        <v>34.68</v>
      </c>
      <c r="G86" s="305">
        <f t="shared" ref="G86:G89" si="50">ROUND(E86*F86,2)</f>
        <v>199.76</v>
      </c>
      <c r="I86" s="151">
        <f t="shared" ref="I86:I89" si="51">ROUND(J86/$G86,4)</f>
        <v>0</v>
      </c>
      <c r="J86" s="447">
        <v>0</v>
      </c>
      <c r="K86" s="119"/>
      <c r="L86" s="151">
        <f t="shared" ref="L86:L89" si="52">ROUND(M86/$G86,4)</f>
        <v>1</v>
      </c>
      <c r="M86" s="447">
        <v>199.76</v>
      </c>
      <c r="O86" s="151">
        <f t="shared" ref="O86:O89" si="53">ROUND(P86/$G86,4)</f>
        <v>0</v>
      </c>
      <c r="P86" s="447"/>
      <c r="R86" s="139"/>
    </row>
    <row r="87" spans="2:21" ht="15" customHeight="1" x14ac:dyDescent="0.25">
      <c r="B87" s="443" t="s">
        <v>452</v>
      </c>
      <c r="C87" s="388" t="s">
        <v>453</v>
      </c>
      <c r="D87" s="380" t="s">
        <v>145</v>
      </c>
      <c r="E87" s="381">
        <v>386</v>
      </c>
      <c r="F87" s="382">
        <v>40.96</v>
      </c>
      <c r="G87" s="305">
        <f t="shared" si="50"/>
        <v>15810.56</v>
      </c>
      <c r="I87" s="151">
        <f t="shared" si="51"/>
        <v>0</v>
      </c>
      <c r="J87" s="447">
        <v>0</v>
      </c>
      <c r="K87" s="119"/>
      <c r="L87" s="151">
        <f t="shared" si="52"/>
        <v>1</v>
      </c>
      <c r="M87" s="447">
        <v>15810.56</v>
      </c>
      <c r="O87" s="151">
        <f t="shared" si="53"/>
        <v>0</v>
      </c>
      <c r="P87" s="447"/>
    </row>
    <row r="88" spans="2:21" ht="15" customHeight="1" x14ac:dyDescent="0.25">
      <c r="B88" s="443" t="s">
        <v>454</v>
      </c>
      <c r="C88" s="388" t="s">
        <v>455</v>
      </c>
      <c r="D88" s="380" t="s">
        <v>101</v>
      </c>
      <c r="E88" s="381">
        <v>115.8</v>
      </c>
      <c r="F88" s="382">
        <v>5.86</v>
      </c>
      <c r="G88" s="305">
        <f t="shared" si="50"/>
        <v>678.59</v>
      </c>
      <c r="I88" s="151">
        <f t="shared" si="51"/>
        <v>0</v>
      </c>
      <c r="J88" s="448">
        <v>0</v>
      </c>
      <c r="K88" s="119"/>
      <c r="L88" s="151">
        <f t="shared" si="52"/>
        <v>1</v>
      </c>
      <c r="M88" s="448">
        <v>678.59</v>
      </c>
      <c r="N88" s="127"/>
      <c r="O88" s="151">
        <f t="shared" si="53"/>
        <v>0</v>
      </c>
      <c r="P88" s="448"/>
    </row>
    <row r="89" spans="2:21" ht="15" customHeight="1" x14ac:dyDescent="0.25">
      <c r="B89" s="443" t="s">
        <v>456</v>
      </c>
      <c r="C89" s="388" t="s">
        <v>457</v>
      </c>
      <c r="D89" s="396" t="s">
        <v>145</v>
      </c>
      <c r="E89" s="397">
        <v>38.5</v>
      </c>
      <c r="F89" s="398">
        <v>5.44</v>
      </c>
      <c r="G89" s="305">
        <f t="shared" si="50"/>
        <v>209.44</v>
      </c>
      <c r="I89" s="151">
        <f t="shared" si="51"/>
        <v>0</v>
      </c>
      <c r="J89" s="447">
        <v>0</v>
      </c>
      <c r="K89" s="119"/>
      <c r="L89" s="151">
        <f t="shared" si="52"/>
        <v>1</v>
      </c>
      <c r="M89" s="447">
        <v>209.44</v>
      </c>
      <c r="O89" s="151">
        <f t="shared" si="53"/>
        <v>0</v>
      </c>
      <c r="P89" s="447"/>
    </row>
    <row r="90" spans="2:21" ht="15" customHeight="1" x14ac:dyDescent="0.25">
      <c r="B90" s="441" t="s">
        <v>458</v>
      </c>
      <c r="C90" s="386" t="s">
        <v>459</v>
      </c>
      <c r="D90" s="393"/>
      <c r="E90" s="394"/>
      <c r="F90" s="395"/>
      <c r="G90" s="306"/>
      <c r="I90" s="451"/>
      <c r="J90" s="447"/>
      <c r="K90" s="119"/>
      <c r="L90" s="447"/>
      <c r="M90" s="447"/>
      <c r="O90" s="447"/>
      <c r="P90" s="447"/>
    </row>
    <row r="91" spans="2:21" ht="15" customHeight="1" x14ac:dyDescent="0.25">
      <c r="B91" s="442" t="s">
        <v>460</v>
      </c>
      <c r="C91" s="387" t="s">
        <v>461</v>
      </c>
      <c r="D91" s="390"/>
      <c r="E91" s="391"/>
      <c r="F91" s="392"/>
      <c r="G91" s="306"/>
      <c r="I91" s="451"/>
      <c r="J91" s="447"/>
      <c r="K91" s="119"/>
      <c r="L91" s="447"/>
      <c r="M91" s="447"/>
      <c r="O91" s="447"/>
      <c r="P91" s="447"/>
    </row>
    <row r="92" spans="2:21" ht="15" customHeight="1" x14ac:dyDescent="0.25">
      <c r="B92" s="443" t="s">
        <v>462</v>
      </c>
      <c r="C92" s="388" t="s">
        <v>441</v>
      </c>
      <c r="D92" s="380" t="s">
        <v>234</v>
      </c>
      <c r="E92" s="381">
        <v>9</v>
      </c>
      <c r="F92" s="382">
        <v>56.41</v>
      </c>
      <c r="G92" s="305">
        <f t="shared" ref="G92:G95" si="54">ROUND(E92*F92,2)</f>
        <v>507.69</v>
      </c>
      <c r="I92" s="151">
        <f t="shared" ref="I92:I95" si="55">ROUND(J92/$G92,4)</f>
        <v>0</v>
      </c>
      <c r="J92" s="447">
        <v>0</v>
      </c>
      <c r="K92" s="119"/>
      <c r="L92" s="151">
        <f t="shared" ref="L92:L95" si="56">ROUND(M92/$G92,4)</f>
        <v>1</v>
      </c>
      <c r="M92" s="447">
        <v>507.69</v>
      </c>
      <c r="O92" s="151">
        <f t="shared" ref="O92:O95" si="57">ROUND(P92/$G92,4)</f>
        <v>0</v>
      </c>
      <c r="P92" s="447"/>
    </row>
    <row r="93" spans="2:21" ht="15" customHeight="1" x14ac:dyDescent="0.25">
      <c r="B93" s="443" t="s">
        <v>463</v>
      </c>
      <c r="C93" s="388" t="s">
        <v>347</v>
      </c>
      <c r="D93" s="380" t="s">
        <v>234</v>
      </c>
      <c r="E93" s="381">
        <v>10.75</v>
      </c>
      <c r="F93" s="382">
        <v>19.04</v>
      </c>
      <c r="G93" s="305">
        <f t="shared" si="54"/>
        <v>204.68</v>
      </c>
      <c r="I93" s="151">
        <f t="shared" si="55"/>
        <v>0</v>
      </c>
      <c r="J93" s="447">
        <v>0</v>
      </c>
      <c r="K93" s="119"/>
      <c r="L93" s="151">
        <f t="shared" si="56"/>
        <v>1</v>
      </c>
      <c r="M93" s="447">
        <v>204.68</v>
      </c>
      <c r="O93" s="151">
        <f t="shared" si="57"/>
        <v>0</v>
      </c>
      <c r="P93" s="447"/>
    </row>
    <row r="94" spans="2:21" ht="15" customHeight="1" x14ac:dyDescent="0.25">
      <c r="B94" s="443" t="s">
        <v>464</v>
      </c>
      <c r="C94" s="388" t="s">
        <v>444</v>
      </c>
      <c r="D94" s="380" t="s">
        <v>234</v>
      </c>
      <c r="E94" s="381">
        <v>8.75</v>
      </c>
      <c r="F94" s="382">
        <v>28.21</v>
      </c>
      <c r="G94" s="305">
        <f t="shared" si="54"/>
        <v>246.84</v>
      </c>
      <c r="I94" s="151">
        <f t="shared" si="55"/>
        <v>0</v>
      </c>
      <c r="J94" s="447">
        <v>0</v>
      </c>
      <c r="K94" s="119"/>
      <c r="L94" s="151">
        <f t="shared" si="56"/>
        <v>1</v>
      </c>
      <c r="M94" s="447">
        <v>246.84</v>
      </c>
      <c r="O94" s="151">
        <f t="shared" si="57"/>
        <v>0</v>
      </c>
      <c r="P94" s="447"/>
    </row>
    <row r="95" spans="2:21" ht="15" customHeight="1" x14ac:dyDescent="0.25">
      <c r="B95" s="443" t="s">
        <v>465</v>
      </c>
      <c r="C95" s="389" t="s">
        <v>349</v>
      </c>
      <c r="D95" s="380" t="s">
        <v>234</v>
      </c>
      <c r="E95" s="381">
        <v>8.75</v>
      </c>
      <c r="F95" s="382">
        <v>18.98</v>
      </c>
      <c r="G95" s="305">
        <f t="shared" si="54"/>
        <v>166.08</v>
      </c>
      <c r="I95" s="151">
        <f t="shared" si="55"/>
        <v>0</v>
      </c>
      <c r="J95" s="447">
        <v>0</v>
      </c>
      <c r="K95" s="119"/>
      <c r="L95" s="151">
        <f t="shared" si="56"/>
        <v>1</v>
      </c>
      <c r="M95" s="447">
        <v>166.08</v>
      </c>
      <c r="O95" s="151">
        <f t="shared" si="57"/>
        <v>0</v>
      </c>
      <c r="P95" s="447"/>
    </row>
    <row r="96" spans="2:21" ht="15" customHeight="1" x14ac:dyDescent="0.25">
      <c r="B96" s="442" t="s">
        <v>466</v>
      </c>
      <c r="C96" s="387" t="s">
        <v>467</v>
      </c>
      <c r="D96" s="390"/>
      <c r="E96" s="391"/>
      <c r="F96" s="392"/>
      <c r="G96" s="306"/>
      <c r="I96" s="451"/>
      <c r="J96" s="447"/>
      <c r="K96" s="119"/>
      <c r="L96" s="447"/>
      <c r="M96" s="447"/>
      <c r="O96" s="447"/>
      <c r="P96" s="447"/>
    </row>
    <row r="97" spans="2:16" ht="15" customHeight="1" x14ac:dyDescent="0.25">
      <c r="B97" s="443" t="s">
        <v>468</v>
      </c>
      <c r="C97" s="388" t="s">
        <v>469</v>
      </c>
      <c r="D97" s="380" t="s">
        <v>102</v>
      </c>
      <c r="E97" s="381">
        <v>653.79999999999995</v>
      </c>
      <c r="F97" s="382">
        <v>7.85</v>
      </c>
      <c r="G97" s="305">
        <f t="shared" ref="G97:G101" si="58">ROUND(E97*F97,2)</f>
        <v>5132.33</v>
      </c>
      <c r="I97" s="151">
        <f t="shared" ref="I97:I101" si="59">ROUND(J97/$G97,4)</f>
        <v>0</v>
      </c>
      <c r="J97" s="447">
        <v>0</v>
      </c>
      <c r="K97" s="119"/>
      <c r="L97" s="151">
        <f t="shared" ref="L97:L101" si="60">ROUND(M97/$G97,4)</f>
        <v>1</v>
      </c>
      <c r="M97" s="447">
        <v>5132.33</v>
      </c>
      <c r="O97" s="151">
        <f t="shared" ref="O97:O101" si="61">ROUND(P97/$G97,4)</f>
        <v>0</v>
      </c>
      <c r="P97" s="447"/>
    </row>
    <row r="98" spans="2:16" ht="15" customHeight="1" x14ac:dyDescent="0.25">
      <c r="B98" s="443" t="s">
        <v>470</v>
      </c>
      <c r="C98" s="388" t="s">
        <v>471</v>
      </c>
      <c r="D98" s="380" t="s">
        <v>101</v>
      </c>
      <c r="E98" s="381">
        <v>251.02</v>
      </c>
      <c r="F98" s="382">
        <v>73.97</v>
      </c>
      <c r="G98" s="305">
        <f t="shared" si="58"/>
        <v>18567.95</v>
      </c>
      <c r="I98" s="151">
        <f t="shared" si="59"/>
        <v>0</v>
      </c>
      <c r="J98" s="447">
        <v>0</v>
      </c>
      <c r="K98" s="119"/>
      <c r="L98" s="151">
        <f t="shared" si="60"/>
        <v>1</v>
      </c>
      <c r="M98" s="447">
        <v>18567.95</v>
      </c>
      <c r="O98" s="151">
        <f t="shared" si="61"/>
        <v>0</v>
      </c>
      <c r="P98" s="447"/>
    </row>
    <row r="99" spans="2:16" ht="15" customHeight="1" x14ac:dyDescent="0.25">
      <c r="B99" s="443" t="s">
        <v>472</v>
      </c>
      <c r="C99" s="389" t="s">
        <v>473</v>
      </c>
      <c r="D99" s="380" t="s">
        <v>234</v>
      </c>
      <c r="E99" s="381">
        <v>32.94</v>
      </c>
      <c r="F99" s="382">
        <v>477.23</v>
      </c>
      <c r="G99" s="305">
        <f t="shared" si="58"/>
        <v>15719.96</v>
      </c>
      <c r="I99" s="151">
        <f t="shared" si="59"/>
        <v>0</v>
      </c>
      <c r="J99" s="447">
        <v>0</v>
      </c>
      <c r="K99" s="119"/>
      <c r="L99" s="151">
        <f t="shared" si="60"/>
        <v>1</v>
      </c>
      <c r="M99" s="447">
        <v>15719.96</v>
      </c>
      <c r="O99" s="151">
        <f t="shared" si="61"/>
        <v>0</v>
      </c>
      <c r="P99" s="447"/>
    </row>
    <row r="100" spans="2:16" ht="15" customHeight="1" x14ac:dyDescent="0.25">
      <c r="B100" s="443" t="s">
        <v>474</v>
      </c>
      <c r="C100" s="388" t="s">
        <v>365</v>
      </c>
      <c r="D100" s="380" t="s">
        <v>101</v>
      </c>
      <c r="E100" s="381">
        <v>219.61</v>
      </c>
      <c r="F100" s="382">
        <v>2.92</v>
      </c>
      <c r="G100" s="305">
        <f t="shared" si="58"/>
        <v>641.26</v>
      </c>
      <c r="I100" s="151">
        <f t="shared" si="59"/>
        <v>0</v>
      </c>
      <c r="J100" s="447">
        <v>0</v>
      </c>
      <c r="K100" s="119"/>
      <c r="L100" s="151">
        <f t="shared" si="60"/>
        <v>1</v>
      </c>
      <c r="M100" s="447">
        <v>641.26</v>
      </c>
      <c r="O100" s="151">
        <f t="shared" si="61"/>
        <v>0</v>
      </c>
      <c r="P100" s="447"/>
    </row>
    <row r="101" spans="2:16" ht="15" customHeight="1" x14ac:dyDescent="0.25">
      <c r="B101" s="443" t="s">
        <v>475</v>
      </c>
      <c r="C101" s="388" t="s">
        <v>411</v>
      </c>
      <c r="D101" s="380" t="s">
        <v>145</v>
      </c>
      <c r="E101" s="381">
        <v>6</v>
      </c>
      <c r="F101" s="382">
        <v>4.4800000000000004</v>
      </c>
      <c r="G101" s="305">
        <f t="shared" si="58"/>
        <v>26.88</v>
      </c>
      <c r="I101" s="151">
        <f t="shared" si="59"/>
        <v>0</v>
      </c>
      <c r="J101" s="447">
        <v>0</v>
      </c>
      <c r="K101" s="119"/>
      <c r="L101" s="151">
        <f t="shared" si="60"/>
        <v>1</v>
      </c>
      <c r="M101" s="447">
        <v>26.88</v>
      </c>
      <c r="O101" s="151">
        <f t="shared" si="61"/>
        <v>0</v>
      </c>
      <c r="P101" s="447"/>
    </row>
    <row r="102" spans="2:16" ht="15" customHeight="1" x14ac:dyDescent="0.25">
      <c r="B102" s="441" t="s">
        <v>476</v>
      </c>
      <c r="C102" s="386" t="s">
        <v>477</v>
      </c>
      <c r="D102" s="393"/>
      <c r="E102" s="394"/>
      <c r="F102" s="395"/>
      <c r="G102" s="306"/>
      <c r="I102" s="451"/>
      <c r="J102" s="447"/>
      <c r="K102" s="119"/>
      <c r="L102" s="447"/>
      <c r="M102" s="447"/>
      <c r="O102" s="447"/>
      <c r="P102" s="447"/>
    </row>
    <row r="103" spans="2:16" ht="15" customHeight="1" x14ac:dyDescent="0.25">
      <c r="B103" s="442" t="s">
        <v>478</v>
      </c>
      <c r="C103" s="399" t="s">
        <v>479</v>
      </c>
      <c r="D103" s="390"/>
      <c r="E103" s="391"/>
      <c r="F103" s="392"/>
      <c r="G103" s="306"/>
      <c r="I103" s="451"/>
      <c r="J103" s="447"/>
      <c r="K103" s="119"/>
      <c r="L103" s="447"/>
      <c r="M103" s="447"/>
      <c r="O103" s="447"/>
      <c r="P103" s="447"/>
    </row>
    <row r="104" spans="2:16" ht="15" customHeight="1" x14ac:dyDescent="0.25">
      <c r="B104" s="443" t="s">
        <v>480</v>
      </c>
      <c r="C104" s="388" t="s">
        <v>229</v>
      </c>
      <c r="D104" s="380" t="s">
        <v>101</v>
      </c>
      <c r="E104" s="381">
        <v>20.079999999999998</v>
      </c>
      <c r="F104" s="382">
        <v>1.06</v>
      </c>
      <c r="G104" s="305">
        <f t="shared" ref="G104:G105" si="62">ROUND(E104*F104,2)</f>
        <v>21.28</v>
      </c>
      <c r="I104" s="151">
        <f t="shared" ref="I104:I105" si="63">ROUND(J104/$G104,4)</f>
        <v>0</v>
      </c>
      <c r="J104" s="447">
        <v>0</v>
      </c>
      <c r="K104" s="119"/>
      <c r="L104" s="151">
        <f t="shared" ref="L104:L105" si="64">ROUND(M104/$G104,4)</f>
        <v>1</v>
      </c>
      <c r="M104" s="447">
        <v>21.28</v>
      </c>
      <c r="O104" s="151">
        <f t="shared" ref="O104:O105" si="65">ROUND(P104/$G104,4)</f>
        <v>0</v>
      </c>
      <c r="P104" s="447"/>
    </row>
    <row r="105" spans="2:16" ht="15" customHeight="1" x14ac:dyDescent="0.25">
      <c r="B105" s="443" t="s">
        <v>481</v>
      </c>
      <c r="C105" s="388" t="s">
        <v>482</v>
      </c>
      <c r="D105" s="380" t="s">
        <v>101</v>
      </c>
      <c r="E105" s="381">
        <v>20.079999999999998</v>
      </c>
      <c r="F105" s="382">
        <v>1.69</v>
      </c>
      <c r="G105" s="305">
        <f t="shared" si="62"/>
        <v>33.94</v>
      </c>
      <c r="I105" s="151">
        <f t="shared" si="63"/>
        <v>0</v>
      </c>
      <c r="J105" s="447">
        <v>0</v>
      </c>
      <c r="K105" s="119"/>
      <c r="L105" s="151">
        <f t="shared" si="64"/>
        <v>1</v>
      </c>
      <c r="M105" s="447">
        <v>33.94</v>
      </c>
      <c r="O105" s="151">
        <f t="shared" si="65"/>
        <v>0</v>
      </c>
      <c r="P105" s="447"/>
    </row>
    <row r="106" spans="2:16" ht="15" customHeight="1" x14ac:dyDescent="0.25">
      <c r="B106" s="442" t="s">
        <v>483</v>
      </c>
      <c r="C106" s="387" t="s">
        <v>226</v>
      </c>
      <c r="D106" s="390"/>
      <c r="E106" s="391"/>
      <c r="F106" s="392"/>
      <c r="G106" s="306"/>
      <c r="I106" s="451"/>
      <c r="J106" s="447"/>
      <c r="K106" s="119"/>
      <c r="L106" s="447"/>
      <c r="M106" s="447"/>
      <c r="O106" s="447"/>
      <c r="P106" s="447"/>
    </row>
    <row r="107" spans="2:16" ht="15" customHeight="1" x14ac:dyDescent="0.25">
      <c r="B107" s="443" t="s">
        <v>484</v>
      </c>
      <c r="C107" s="388" t="s">
        <v>392</v>
      </c>
      <c r="D107" s="380" t="s">
        <v>234</v>
      </c>
      <c r="E107" s="381">
        <v>22.39</v>
      </c>
      <c r="F107" s="382">
        <v>22.11</v>
      </c>
      <c r="G107" s="305">
        <f t="shared" ref="G107:G109" si="66">ROUND(E107*F107,2)</f>
        <v>495.04</v>
      </c>
      <c r="I107" s="151">
        <f t="shared" ref="I107:I109" si="67">ROUND(J107/$G107,4)</f>
        <v>0</v>
      </c>
      <c r="J107" s="447">
        <v>0</v>
      </c>
      <c r="K107" s="119"/>
      <c r="L107" s="151">
        <f t="shared" ref="L107:L109" si="68">ROUND(M107/$G107,4)</f>
        <v>1</v>
      </c>
      <c r="M107" s="447">
        <v>495.04</v>
      </c>
      <c r="O107" s="151">
        <f t="shared" ref="O107:O109" si="69">ROUND(P107/$G107,4)</f>
        <v>0</v>
      </c>
      <c r="P107" s="447"/>
    </row>
    <row r="108" spans="2:16" ht="15" customHeight="1" x14ac:dyDescent="0.25">
      <c r="B108" s="443" t="s">
        <v>485</v>
      </c>
      <c r="C108" s="388" t="s">
        <v>486</v>
      </c>
      <c r="D108" s="380" t="s">
        <v>234</v>
      </c>
      <c r="E108" s="381">
        <v>14.57</v>
      </c>
      <c r="F108" s="382">
        <v>83.65</v>
      </c>
      <c r="G108" s="305">
        <f t="shared" si="66"/>
        <v>1218.78</v>
      </c>
      <c r="I108" s="151">
        <f t="shared" si="67"/>
        <v>0</v>
      </c>
      <c r="J108" s="447">
        <v>0</v>
      </c>
      <c r="K108" s="119"/>
      <c r="L108" s="151">
        <f t="shared" si="68"/>
        <v>1</v>
      </c>
      <c r="M108" s="447">
        <v>1218.78</v>
      </c>
      <c r="O108" s="151">
        <f t="shared" si="69"/>
        <v>0</v>
      </c>
      <c r="P108" s="447"/>
    </row>
    <row r="109" spans="2:16" ht="15" customHeight="1" x14ac:dyDescent="0.25">
      <c r="B109" s="443" t="s">
        <v>487</v>
      </c>
      <c r="C109" s="389" t="s">
        <v>349</v>
      </c>
      <c r="D109" s="380" t="s">
        <v>234</v>
      </c>
      <c r="E109" s="381">
        <v>9.7799999999999994</v>
      </c>
      <c r="F109" s="382">
        <v>18.98</v>
      </c>
      <c r="G109" s="305">
        <f t="shared" si="66"/>
        <v>185.62</v>
      </c>
      <c r="I109" s="151">
        <f t="shared" si="67"/>
        <v>0</v>
      </c>
      <c r="J109" s="447">
        <v>0</v>
      </c>
      <c r="K109" s="119"/>
      <c r="L109" s="151">
        <f t="shared" si="68"/>
        <v>1</v>
      </c>
      <c r="M109" s="447">
        <v>185.62</v>
      </c>
      <c r="O109" s="151">
        <f t="shared" si="69"/>
        <v>0</v>
      </c>
      <c r="P109" s="447"/>
    </row>
    <row r="110" spans="2:16" ht="15" customHeight="1" x14ac:dyDescent="0.25">
      <c r="B110" s="442" t="s">
        <v>488</v>
      </c>
      <c r="C110" s="387" t="s">
        <v>227</v>
      </c>
      <c r="D110" s="390"/>
      <c r="E110" s="391"/>
      <c r="F110" s="392"/>
      <c r="G110" s="306"/>
      <c r="I110" s="451"/>
      <c r="J110" s="447"/>
      <c r="K110" s="119"/>
      <c r="L110" s="447"/>
      <c r="M110" s="447"/>
      <c r="O110" s="447"/>
      <c r="P110" s="447"/>
    </row>
    <row r="111" spans="2:16" ht="15" customHeight="1" x14ac:dyDescent="0.25">
      <c r="B111" s="443" t="s">
        <v>489</v>
      </c>
      <c r="C111" s="388" t="s">
        <v>490</v>
      </c>
      <c r="D111" s="380" t="s">
        <v>101</v>
      </c>
      <c r="E111" s="381">
        <v>20.079999999999998</v>
      </c>
      <c r="F111" s="382">
        <v>40.1</v>
      </c>
      <c r="G111" s="305">
        <f>ROUND(E111*F111,2)</f>
        <v>805.21</v>
      </c>
      <c r="I111" s="151">
        <f>ROUND(J111/$G111,4)</f>
        <v>0</v>
      </c>
      <c r="J111" s="447">
        <v>0</v>
      </c>
      <c r="K111" s="119"/>
      <c r="L111" s="151">
        <f>ROUND(M111/$G111,4)</f>
        <v>1</v>
      </c>
      <c r="M111" s="447">
        <v>805.21</v>
      </c>
      <c r="O111" s="151">
        <f>ROUND(P111/$G111,4)</f>
        <v>0</v>
      </c>
      <c r="P111" s="447"/>
    </row>
    <row r="112" spans="2:16" ht="15" customHeight="1" x14ac:dyDescent="0.25">
      <c r="B112" s="442" t="s">
        <v>491</v>
      </c>
      <c r="C112" s="387" t="s">
        <v>228</v>
      </c>
      <c r="D112" s="390"/>
      <c r="E112" s="391"/>
      <c r="F112" s="392"/>
      <c r="G112" s="306"/>
      <c r="I112" s="451"/>
      <c r="J112" s="447"/>
      <c r="K112" s="119"/>
      <c r="L112" s="447"/>
      <c r="M112" s="447"/>
      <c r="O112" s="447"/>
      <c r="P112" s="447"/>
    </row>
    <row r="113" spans="2:16" ht="15" customHeight="1" x14ac:dyDescent="0.25">
      <c r="B113" s="444" t="s">
        <v>492</v>
      </c>
      <c r="C113" s="400" t="s">
        <v>232</v>
      </c>
      <c r="D113" s="401"/>
      <c r="E113" s="402"/>
      <c r="F113" s="403"/>
      <c r="G113" s="306"/>
      <c r="I113" s="451"/>
      <c r="J113" s="447"/>
      <c r="K113" s="119"/>
      <c r="L113" s="447"/>
      <c r="M113" s="447"/>
      <c r="O113" s="447"/>
      <c r="P113" s="447"/>
    </row>
    <row r="114" spans="2:16" ht="15" customHeight="1" x14ac:dyDescent="0.25">
      <c r="B114" s="443" t="s">
        <v>493</v>
      </c>
      <c r="C114" s="388" t="s">
        <v>469</v>
      </c>
      <c r="D114" s="380" t="s">
        <v>102</v>
      </c>
      <c r="E114" s="381">
        <v>400.33</v>
      </c>
      <c r="F114" s="382">
        <v>7.85</v>
      </c>
      <c r="G114" s="305">
        <f t="shared" ref="G114:G117" si="70">ROUND(E114*F114,2)</f>
        <v>3142.59</v>
      </c>
      <c r="I114" s="151">
        <f t="shared" ref="I114:I117" si="71">ROUND(J114/$G114,4)</f>
        <v>0</v>
      </c>
      <c r="J114" s="447">
        <v>0</v>
      </c>
      <c r="K114" s="119"/>
      <c r="L114" s="151">
        <f t="shared" ref="L114:L117" si="72">ROUND(M114/$G114,4)</f>
        <v>1</v>
      </c>
      <c r="M114" s="447">
        <v>3142.59</v>
      </c>
      <c r="O114" s="151">
        <f t="shared" ref="O114:O117" si="73">ROUND(P114/$G114,4)</f>
        <v>0</v>
      </c>
      <c r="P114" s="447"/>
    </row>
    <row r="115" spans="2:16" ht="15" customHeight="1" x14ac:dyDescent="0.25">
      <c r="B115" s="443" t="s">
        <v>494</v>
      </c>
      <c r="C115" s="388" t="s">
        <v>495</v>
      </c>
      <c r="D115" s="380" t="s">
        <v>101</v>
      </c>
      <c r="E115" s="381">
        <v>14.88</v>
      </c>
      <c r="F115" s="382">
        <v>73.97</v>
      </c>
      <c r="G115" s="305">
        <f t="shared" si="70"/>
        <v>1100.67</v>
      </c>
      <c r="I115" s="151">
        <f t="shared" si="71"/>
        <v>0</v>
      </c>
      <c r="J115" s="447">
        <v>0</v>
      </c>
      <c r="K115" s="119"/>
      <c r="L115" s="151">
        <f t="shared" si="72"/>
        <v>1</v>
      </c>
      <c r="M115" s="447">
        <v>1100.67</v>
      </c>
      <c r="O115" s="151">
        <f t="shared" si="73"/>
        <v>0</v>
      </c>
      <c r="P115" s="447"/>
    </row>
    <row r="116" spans="2:16" ht="15" customHeight="1" x14ac:dyDescent="0.25">
      <c r="B116" s="443" t="s">
        <v>496</v>
      </c>
      <c r="C116" s="388" t="s">
        <v>497</v>
      </c>
      <c r="D116" s="380" t="s">
        <v>234</v>
      </c>
      <c r="E116" s="381">
        <v>6.01</v>
      </c>
      <c r="F116" s="382">
        <v>630.15</v>
      </c>
      <c r="G116" s="305">
        <f t="shared" si="70"/>
        <v>3787.2</v>
      </c>
      <c r="I116" s="151">
        <f t="shared" si="71"/>
        <v>0</v>
      </c>
      <c r="J116" s="447">
        <v>0</v>
      </c>
      <c r="K116" s="119"/>
      <c r="L116" s="151">
        <f t="shared" si="72"/>
        <v>1</v>
      </c>
      <c r="M116" s="447">
        <v>3787.2</v>
      </c>
      <c r="O116" s="151">
        <f t="shared" si="73"/>
        <v>0</v>
      </c>
      <c r="P116" s="447"/>
    </row>
    <row r="117" spans="2:16" ht="15" customHeight="1" x14ac:dyDescent="0.25">
      <c r="B117" s="443" t="s">
        <v>498</v>
      </c>
      <c r="C117" s="388" t="s">
        <v>409</v>
      </c>
      <c r="D117" s="380" t="s">
        <v>101</v>
      </c>
      <c r="E117" s="381">
        <v>20.079999999999998</v>
      </c>
      <c r="F117" s="382">
        <v>2.92</v>
      </c>
      <c r="G117" s="305">
        <f t="shared" si="70"/>
        <v>58.63</v>
      </c>
      <c r="I117" s="151">
        <f t="shared" si="71"/>
        <v>0</v>
      </c>
      <c r="J117" s="447">
        <v>0</v>
      </c>
      <c r="K117" s="119"/>
      <c r="L117" s="151">
        <f t="shared" si="72"/>
        <v>1</v>
      </c>
      <c r="M117" s="447">
        <v>58.63</v>
      </c>
      <c r="O117" s="151">
        <f t="shared" si="73"/>
        <v>0</v>
      </c>
      <c r="P117" s="447"/>
    </row>
    <row r="118" spans="2:16" ht="15" customHeight="1" x14ac:dyDescent="0.25">
      <c r="B118" s="444" t="s">
        <v>499</v>
      </c>
      <c r="C118" s="400" t="s">
        <v>500</v>
      </c>
      <c r="D118" s="401"/>
      <c r="E118" s="402"/>
      <c r="F118" s="403"/>
      <c r="G118" s="306"/>
      <c r="I118" s="451"/>
      <c r="J118" s="447"/>
      <c r="K118" s="119"/>
      <c r="L118" s="447"/>
      <c r="M118" s="447"/>
      <c r="O118" s="447"/>
      <c r="P118" s="447"/>
    </row>
    <row r="119" spans="2:16" ht="15" customHeight="1" x14ac:dyDescent="0.25">
      <c r="B119" s="443" t="s">
        <v>501</v>
      </c>
      <c r="C119" s="388" t="s">
        <v>469</v>
      </c>
      <c r="D119" s="380" t="s">
        <v>102</v>
      </c>
      <c r="E119" s="381">
        <v>175.55</v>
      </c>
      <c r="F119" s="382">
        <v>7.85</v>
      </c>
      <c r="G119" s="305">
        <f t="shared" ref="G119:G122" si="74">ROUND(E119*F119,2)</f>
        <v>1378.07</v>
      </c>
      <c r="I119" s="151">
        <f t="shared" ref="I119:I122" si="75">ROUND(J119/$G119,4)</f>
        <v>0</v>
      </c>
      <c r="J119" s="447">
        <v>0</v>
      </c>
      <c r="K119" s="119"/>
      <c r="L119" s="151">
        <f t="shared" ref="L119:L122" si="76">ROUND(M119/$G119,4)</f>
        <v>1</v>
      </c>
      <c r="M119" s="447">
        <v>1378.07</v>
      </c>
      <c r="O119" s="151">
        <f t="shared" ref="O119:O122" si="77">ROUND(P119/$G119,4)</f>
        <v>0</v>
      </c>
      <c r="P119" s="447"/>
    </row>
    <row r="120" spans="2:16" ht="15" customHeight="1" x14ac:dyDescent="0.25">
      <c r="B120" s="443" t="s">
        <v>502</v>
      </c>
      <c r="C120" s="388" t="s">
        <v>503</v>
      </c>
      <c r="D120" s="380" t="s">
        <v>101</v>
      </c>
      <c r="E120" s="381">
        <v>53.48</v>
      </c>
      <c r="F120" s="382">
        <v>73.97</v>
      </c>
      <c r="G120" s="305">
        <f t="shared" si="74"/>
        <v>3955.92</v>
      </c>
      <c r="I120" s="151">
        <f t="shared" si="75"/>
        <v>0</v>
      </c>
      <c r="J120" s="447">
        <v>0</v>
      </c>
      <c r="K120" s="119"/>
      <c r="L120" s="151">
        <f t="shared" si="76"/>
        <v>1</v>
      </c>
      <c r="M120" s="447">
        <v>3955.92</v>
      </c>
      <c r="O120" s="151">
        <f t="shared" si="77"/>
        <v>0</v>
      </c>
      <c r="P120" s="447"/>
    </row>
    <row r="121" spans="2:16" ht="15" customHeight="1" x14ac:dyDescent="0.25">
      <c r="B121" s="443" t="s">
        <v>504</v>
      </c>
      <c r="C121" s="388" t="s">
        <v>505</v>
      </c>
      <c r="D121" s="380" t="s">
        <v>234</v>
      </c>
      <c r="E121" s="381">
        <v>3.82</v>
      </c>
      <c r="F121" s="382">
        <v>630.15</v>
      </c>
      <c r="G121" s="305">
        <f t="shared" si="74"/>
        <v>2407.17</v>
      </c>
      <c r="I121" s="151">
        <f t="shared" si="75"/>
        <v>0</v>
      </c>
      <c r="J121" s="447">
        <v>0</v>
      </c>
      <c r="K121" s="119"/>
      <c r="L121" s="151">
        <f t="shared" si="76"/>
        <v>1</v>
      </c>
      <c r="M121" s="447">
        <v>2407.17</v>
      </c>
      <c r="O121" s="151">
        <f t="shared" si="77"/>
        <v>0</v>
      </c>
      <c r="P121" s="447"/>
    </row>
    <row r="122" spans="2:16" ht="15" customHeight="1" x14ac:dyDescent="0.25">
      <c r="B122" s="443" t="s">
        <v>506</v>
      </c>
      <c r="C122" s="388" t="s">
        <v>409</v>
      </c>
      <c r="D122" s="380" t="s">
        <v>101</v>
      </c>
      <c r="E122" s="381">
        <v>50.96</v>
      </c>
      <c r="F122" s="382">
        <v>2.92</v>
      </c>
      <c r="G122" s="305">
        <f t="shared" si="74"/>
        <v>148.80000000000001</v>
      </c>
      <c r="I122" s="151">
        <f t="shared" si="75"/>
        <v>0</v>
      </c>
      <c r="J122" s="447">
        <v>0</v>
      </c>
      <c r="K122" s="119"/>
      <c r="L122" s="151">
        <f t="shared" si="76"/>
        <v>1</v>
      </c>
      <c r="M122" s="447">
        <v>148.80000000000001</v>
      </c>
      <c r="O122" s="151">
        <f t="shared" si="77"/>
        <v>0</v>
      </c>
      <c r="P122" s="447"/>
    </row>
    <row r="123" spans="2:16" ht="15" customHeight="1" x14ac:dyDescent="0.25">
      <c r="B123" s="441" t="s">
        <v>507</v>
      </c>
      <c r="C123" s="404" t="s">
        <v>508</v>
      </c>
      <c r="D123" s="405"/>
      <c r="E123" s="406"/>
      <c r="F123" s="407"/>
      <c r="G123" s="306"/>
      <c r="I123" s="451"/>
      <c r="J123" s="447"/>
      <c r="K123" s="119"/>
      <c r="L123" s="447"/>
      <c r="M123" s="447"/>
      <c r="O123" s="447"/>
      <c r="P123" s="447"/>
    </row>
    <row r="124" spans="2:16" ht="15" customHeight="1" x14ac:dyDescent="0.25">
      <c r="B124" s="442" t="s">
        <v>509</v>
      </c>
      <c r="C124" s="387" t="s">
        <v>226</v>
      </c>
      <c r="D124" s="390"/>
      <c r="E124" s="391"/>
      <c r="F124" s="392"/>
      <c r="G124" s="306"/>
      <c r="I124" s="451"/>
      <c r="J124" s="447"/>
      <c r="K124" s="119"/>
      <c r="L124" s="447"/>
      <c r="M124" s="447"/>
      <c r="O124" s="447"/>
      <c r="P124" s="447"/>
    </row>
    <row r="125" spans="2:16" ht="15" customHeight="1" x14ac:dyDescent="0.25">
      <c r="B125" s="443" t="s">
        <v>510</v>
      </c>
      <c r="C125" s="388" t="s">
        <v>511</v>
      </c>
      <c r="D125" s="380" t="s">
        <v>234</v>
      </c>
      <c r="E125" s="381">
        <v>7.58</v>
      </c>
      <c r="F125" s="382">
        <v>63.47</v>
      </c>
      <c r="G125" s="305">
        <f t="shared" ref="G125:G129" si="78">ROUND(E125*F125,2)</f>
        <v>481.1</v>
      </c>
      <c r="I125" s="151">
        <f t="shared" ref="I125:I129" si="79">ROUND(J125/$G125,4)</f>
        <v>1</v>
      </c>
      <c r="J125" s="447">
        <v>481.1</v>
      </c>
      <c r="K125" s="119"/>
      <c r="L125" s="151">
        <f t="shared" ref="L125:L129" si="80">ROUND(M125/$G125,4)</f>
        <v>0</v>
      </c>
      <c r="M125" s="447">
        <v>0</v>
      </c>
      <c r="O125" s="151">
        <f t="shared" ref="O125:O129" si="81">ROUND(P125/$G125,4)</f>
        <v>0</v>
      </c>
      <c r="P125" s="447"/>
    </row>
    <row r="126" spans="2:16" ht="15" customHeight="1" x14ac:dyDescent="0.25">
      <c r="B126" s="443" t="s">
        <v>512</v>
      </c>
      <c r="C126" s="388" t="s">
        <v>513</v>
      </c>
      <c r="D126" s="380" t="s">
        <v>234</v>
      </c>
      <c r="E126" s="381">
        <v>1.8</v>
      </c>
      <c r="F126" s="382">
        <v>83.65</v>
      </c>
      <c r="G126" s="305">
        <f t="shared" si="78"/>
        <v>150.57</v>
      </c>
      <c r="I126" s="151">
        <f t="shared" si="79"/>
        <v>1</v>
      </c>
      <c r="J126" s="447">
        <v>150.57</v>
      </c>
      <c r="K126" s="119"/>
      <c r="L126" s="151">
        <f t="shared" si="80"/>
        <v>0</v>
      </c>
      <c r="M126" s="447">
        <v>0</v>
      </c>
      <c r="O126" s="151">
        <f t="shared" si="81"/>
        <v>0</v>
      </c>
      <c r="P126" s="447"/>
    </row>
    <row r="127" spans="2:16" ht="15" customHeight="1" x14ac:dyDescent="0.25">
      <c r="B127" s="443" t="s">
        <v>514</v>
      </c>
      <c r="C127" s="388" t="s">
        <v>515</v>
      </c>
      <c r="D127" s="380" t="s">
        <v>101</v>
      </c>
      <c r="E127" s="381">
        <v>21.66</v>
      </c>
      <c r="F127" s="382">
        <v>4.6500000000000004</v>
      </c>
      <c r="G127" s="305">
        <f t="shared" si="78"/>
        <v>100.72</v>
      </c>
      <c r="I127" s="151">
        <f t="shared" si="79"/>
        <v>1</v>
      </c>
      <c r="J127" s="447">
        <v>100.72</v>
      </c>
      <c r="K127" s="119"/>
      <c r="L127" s="151">
        <f t="shared" si="80"/>
        <v>0</v>
      </c>
      <c r="M127" s="447">
        <v>0</v>
      </c>
      <c r="O127" s="151">
        <f t="shared" si="81"/>
        <v>0</v>
      </c>
      <c r="P127" s="447"/>
    </row>
    <row r="128" spans="2:16" ht="15" customHeight="1" x14ac:dyDescent="0.25">
      <c r="B128" s="443" t="s">
        <v>516</v>
      </c>
      <c r="C128" s="389" t="s">
        <v>349</v>
      </c>
      <c r="D128" s="380" t="s">
        <v>234</v>
      </c>
      <c r="E128" s="381">
        <v>9.48</v>
      </c>
      <c r="F128" s="382">
        <v>18.98</v>
      </c>
      <c r="G128" s="305">
        <f t="shared" si="78"/>
        <v>179.93</v>
      </c>
      <c r="I128" s="151">
        <f t="shared" si="79"/>
        <v>1</v>
      </c>
      <c r="J128" s="447">
        <v>179.93</v>
      </c>
      <c r="K128" s="119"/>
      <c r="L128" s="151">
        <f t="shared" si="80"/>
        <v>0</v>
      </c>
      <c r="M128" s="447">
        <v>0</v>
      </c>
      <c r="O128" s="151">
        <f t="shared" si="81"/>
        <v>0</v>
      </c>
      <c r="P128" s="447"/>
    </row>
    <row r="129" spans="2:16" ht="15" customHeight="1" x14ac:dyDescent="0.25">
      <c r="B129" s="443" t="s">
        <v>517</v>
      </c>
      <c r="C129" s="389" t="s">
        <v>518</v>
      </c>
      <c r="D129" s="380" t="s">
        <v>101</v>
      </c>
      <c r="E129" s="381">
        <v>21.66</v>
      </c>
      <c r="F129" s="382">
        <v>60.87</v>
      </c>
      <c r="G129" s="305">
        <f t="shared" si="78"/>
        <v>1318.44</v>
      </c>
      <c r="I129" s="151">
        <f t="shared" si="79"/>
        <v>1</v>
      </c>
      <c r="J129" s="447">
        <v>1318.44</v>
      </c>
      <c r="K129" s="119"/>
      <c r="L129" s="151">
        <f t="shared" si="80"/>
        <v>0</v>
      </c>
      <c r="M129" s="447">
        <v>0</v>
      </c>
      <c r="O129" s="151">
        <f t="shared" si="81"/>
        <v>0</v>
      </c>
      <c r="P129" s="447"/>
    </row>
    <row r="130" spans="2:16" ht="15" customHeight="1" x14ac:dyDescent="0.25">
      <c r="B130" s="442" t="s">
        <v>519</v>
      </c>
      <c r="C130" s="399" t="s">
        <v>227</v>
      </c>
      <c r="D130" s="390"/>
      <c r="E130" s="391"/>
      <c r="F130" s="392"/>
      <c r="G130" s="306"/>
      <c r="I130" s="451"/>
      <c r="J130" s="447"/>
      <c r="K130" s="119"/>
      <c r="L130" s="447"/>
      <c r="M130" s="447"/>
      <c r="O130" s="447"/>
      <c r="P130" s="447"/>
    </row>
    <row r="131" spans="2:16" ht="15" customHeight="1" x14ac:dyDescent="0.25">
      <c r="B131" s="443" t="s">
        <v>520</v>
      </c>
      <c r="C131" s="388" t="s">
        <v>521</v>
      </c>
      <c r="D131" s="380" t="s">
        <v>234</v>
      </c>
      <c r="E131" s="381">
        <v>6.75</v>
      </c>
      <c r="F131" s="382">
        <v>485.73</v>
      </c>
      <c r="G131" s="305">
        <f t="shared" ref="G131:G133" si="82">ROUND(E131*F131,2)</f>
        <v>3278.68</v>
      </c>
      <c r="I131" s="151">
        <f t="shared" ref="I131:I133" si="83">ROUND(J131/$G131,4)</f>
        <v>0</v>
      </c>
      <c r="J131" s="447">
        <v>0</v>
      </c>
      <c r="K131" s="119"/>
      <c r="L131" s="151">
        <f t="shared" ref="L131:L133" si="84">ROUND(M131/$G131,4)</f>
        <v>1</v>
      </c>
      <c r="M131" s="447">
        <v>3278.68</v>
      </c>
      <c r="O131" s="151">
        <f t="shared" ref="O131:O133" si="85">ROUND(P131/$G131,4)</f>
        <v>0</v>
      </c>
      <c r="P131" s="447"/>
    </row>
    <row r="132" spans="2:16" ht="15" customHeight="1" x14ac:dyDescent="0.25">
      <c r="B132" s="443" t="s">
        <v>522</v>
      </c>
      <c r="C132" s="388" t="s">
        <v>523</v>
      </c>
      <c r="D132" s="380" t="s">
        <v>101</v>
      </c>
      <c r="E132" s="381">
        <v>5.78</v>
      </c>
      <c r="F132" s="382">
        <v>74.11</v>
      </c>
      <c r="G132" s="305">
        <f t="shared" si="82"/>
        <v>428.36</v>
      </c>
      <c r="I132" s="151">
        <f t="shared" si="83"/>
        <v>0</v>
      </c>
      <c r="J132" s="447">
        <v>0</v>
      </c>
      <c r="K132" s="119"/>
      <c r="L132" s="151">
        <f t="shared" si="84"/>
        <v>1</v>
      </c>
      <c r="M132" s="447">
        <v>428.36</v>
      </c>
      <c r="O132" s="151">
        <f t="shared" si="85"/>
        <v>0</v>
      </c>
      <c r="P132" s="447"/>
    </row>
    <row r="133" spans="2:16" ht="15" customHeight="1" x14ac:dyDescent="0.25">
      <c r="B133" s="443" t="s">
        <v>524</v>
      </c>
      <c r="C133" s="388" t="s">
        <v>525</v>
      </c>
      <c r="D133" s="380" t="s">
        <v>101</v>
      </c>
      <c r="E133" s="381">
        <v>21.66</v>
      </c>
      <c r="F133" s="382">
        <v>2.92</v>
      </c>
      <c r="G133" s="305">
        <f t="shared" si="82"/>
        <v>63.25</v>
      </c>
      <c r="I133" s="151">
        <f t="shared" si="83"/>
        <v>0</v>
      </c>
      <c r="J133" s="447">
        <v>0</v>
      </c>
      <c r="K133" s="119"/>
      <c r="L133" s="151">
        <f t="shared" si="84"/>
        <v>1</v>
      </c>
      <c r="M133" s="447">
        <v>63.25</v>
      </c>
      <c r="O133" s="151">
        <f t="shared" si="85"/>
        <v>0</v>
      </c>
      <c r="P133" s="447"/>
    </row>
    <row r="134" spans="2:16" ht="15" customHeight="1" x14ac:dyDescent="0.25">
      <c r="B134" s="441" t="s">
        <v>526</v>
      </c>
      <c r="C134" s="404" t="s">
        <v>527</v>
      </c>
      <c r="D134" s="393"/>
      <c r="E134" s="394"/>
      <c r="F134" s="395"/>
      <c r="G134" s="306"/>
      <c r="I134" s="451"/>
      <c r="J134" s="447"/>
      <c r="K134" s="119"/>
      <c r="L134" s="447"/>
      <c r="M134" s="447"/>
      <c r="O134" s="447"/>
      <c r="P134" s="447"/>
    </row>
    <row r="135" spans="2:16" ht="15" customHeight="1" x14ac:dyDescent="0.25">
      <c r="B135" s="443" t="s">
        <v>528</v>
      </c>
      <c r="C135" s="388" t="s">
        <v>529</v>
      </c>
      <c r="D135" s="380" t="s">
        <v>101</v>
      </c>
      <c r="E135" s="381">
        <v>228.04</v>
      </c>
      <c r="F135" s="382">
        <v>51.88</v>
      </c>
      <c r="G135" s="305">
        <f t="shared" ref="G135:G136" si="86">ROUND(E135*F135,2)</f>
        <v>11830.72</v>
      </c>
      <c r="I135" s="151">
        <f t="shared" ref="I135:I136" si="87">ROUND(J135/$G135,4)</f>
        <v>0</v>
      </c>
      <c r="J135" s="447">
        <v>0</v>
      </c>
      <c r="K135" s="119"/>
      <c r="L135" s="151">
        <f t="shared" ref="L135:L136" si="88">ROUND(M135/$G135,4)</f>
        <v>1</v>
      </c>
      <c r="M135" s="447">
        <v>11830.72</v>
      </c>
      <c r="O135" s="151">
        <f t="shared" ref="O135:O136" si="89">ROUND(P135/$G135,4)</f>
        <v>0</v>
      </c>
      <c r="P135" s="447"/>
    </row>
    <row r="136" spans="2:16" ht="15" customHeight="1" x14ac:dyDescent="0.25">
      <c r="B136" s="443" t="s">
        <v>530</v>
      </c>
      <c r="C136" s="388" t="s">
        <v>531</v>
      </c>
      <c r="D136" s="380" t="s">
        <v>101</v>
      </c>
      <c r="E136" s="381">
        <v>228.04</v>
      </c>
      <c r="F136" s="382">
        <v>28.17</v>
      </c>
      <c r="G136" s="305">
        <f t="shared" si="86"/>
        <v>6423.89</v>
      </c>
      <c r="I136" s="151">
        <f t="shared" si="87"/>
        <v>0</v>
      </c>
      <c r="J136" s="447">
        <v>0</v>
      </c>
      <c r="K136" s="119"/>
      <c r="L136" s="151">
        <f t="shared" si="88"/>
        <v>1</v>
      </c>
      <c r="M136" s="447">
        <v>6423.89</v>
      </c>
      <c r="O136" s="151">
        <f t="shared" si="89"/>
        <v>0</v>
      </c>
      <c r="P136" s="447"/>
    </row>
    <row r="137" spans="2:16" ht="15" customHeight="1" x14ac:dyDescent="0.25">
      <c r="B137" s="441" t="s">
        <v>532</v>
      </c>
      <c r="C137" s="386" t="s">
        <v>533</v>
      </c>
      <c r="D137" s="393"/>
      <c r="E137" s="394"/>
      <c r="F137" s="395"/>
      <c r="G137" s="306"/>
      <c r="I137" s="451"/>
      <c r="J137" s="447"/>
      <c r="K137" s="119"/>
      <c r="L137" s="447"/>
      <c r="M137" s="447"/>
      <c r="O137" s="447"/>
      <c r="P137" s="447"/>
    </row>
    <row r="138" spans="2:16" ht="15" customHeight="1" x14ac:dyDescent="0.25">
      <c r="B138" s="443" t="s">
        <v>534</v>
      </c>
      <c r="C138" s="389" t="s">
        <v>535</v>
      </c>
      <c r="D138" s="380" t="s">
        <v>233</v>
      </c>
      <c r="E138" s="381">
        <v>40</v>
      </c>
      <c r="F138" s="382">
        <v>30.6</v>
      </c>
      <c r="G138" s="305">
        <f>ROUND(E138*F138,2)</f>
        <v>1224</v>
      </c>
      <c r="I138" s="151">
        <f>ROUND(J138/$G138,4)</f>
        <v>0</v>
      </c>
      <c r="J138" s="447">
        <v>0</v>
      </c>
      <c r="K138" s="119"/>
      <c r="L138" s="151">
        <f>ROUND(M138/$G138,4)</f>
        <v>1</v>
      </c>
      <c r="M138" s="447">
        <v>1224</v>
      </c>
      <c r="O138" s="151">
        <f>ROUND(P138/$G138,4)</f>
        <v>0</v>
      </c>
      <c r="P138" s="447"/>
    </row>
    <row r="139" spans="2:16" ht="15" customHeight="1" x14ac:dyDescent="0.25">
      <c r="B139" s="441" t="s">
        <v>536</v>
      </c>
      <c r="C139" s="386" t="s">
        <v>109</v>
      </c>
      <c r="D139" s="393"/>
      <c r="E139" s="394"/>
      <c r="F139" s="395"/>
      <c r="G139" s="306"/>
      <c r="I139" s="451"/>
      <c r="J139" s="447"/>
      <c r="K139" s="119"/>
      <c r="L139" s="447"/>
      <c r="M139" s="447"/>
      <c r="O139" s="447"/>
      <c r="P139" s="447"/>
    </row>
    <row r="140" spans="2:16" ht="15" customHeight="1" x14ac:dyDescent="0.25">
      <c r="B140" s="443" t="s">
        <v>537</v>
      </c>
      <c r="C140" s="388" t="s">
        <v>538</v>
      </c>
      <c r="D140" s="380" t="s">
        <v>233</v>
      </c>
      <c r="E140" s="381">
        <v>4</v>
      </c>
      <c r="F140" s="382">
        <v>2550</v>
      </c>
      <c r="G140" s="305">
        <f>ROUND(E140*F140,2)</f>
        <v>10200</v>
      </c>
      <c r="I140" s="151">
        <f>ROUND(J140/$G140,4)</f>
        <v>1</v>
      </c>
      <c r="J140" s="447">
        <v>10200</v>
      </c>
      <c r="K140" s="119"/>
      <c r="L140" s="151">
        <f>ROUND(M140/$G140,4)</f>
        <v>0</v>
      </c>
      <c r="M140" s="447">
        <v>0</v>
      </c>
      <c r="O140" s="151">
        <f>ROUND(P140/$G140,4)</f>
        <v>0</v>
      </c>
      <c r="P140" s="447"/>
    </row>
    <row r="141" spans="2:16" ht="15" customHeight="1" x14ac:dyDescent="0.25">
      <c r="B141" s="441" t="s">
        <v>539</v>
      </c>
      <c r="C141" s="386" t="s">
        <v>540</v>
      </c>
      <c r="D141" s="393"/>
      <c r="E141" s="394"/>
      <c r="F141" s="395"/>
      <c r="G141" s="306"/>
      <c r="I141" s="451"/>
      <c r="J141" s="447"/>
      <c r="K141" s="119"/>
      <c r="L141" s="447"/>
      <c r="M141" s="447"/>
      <c r="O141" s="447"/>
      <c r="P141" s="447"/>
    </row>
    <row r="142" spans="2:16" ht="15" customHeight="1" x14ac:dyDescent="0.25">
      <c r="B142" s="443" t="s">
        <v>541</v>
      </c>
      <c r="C142" s="389" t="s">
        <v>542</v>
      </c>
      <c r="D142" s="380" t="s">
        <v>5</v>
      </c>
      <c r="E142" s="381">
        <v>1</v>
      </c>
      <c r="F142" s="382">
        <v>5500</v>
      </c>
      <c r="G142" s="305">
        <f t="shared" ref="G142:G146" si="90">ROUND(E142*F142,2)</f>
        <v>5500</v>
      </c>
      <c r="I142" s="151">
        <f t="shared" ref="I142:I146" si="91">ROUND(J142/$G142,4)</f>
        <v>1</v>
      </c>
      <c r="J142" s="447">
        <v>5500</v>
      </c>
      <c r="K142" s="119"/>
      <c r="L142" s="151">
        <f t="shared" ref="L142:L146" si="92">ROUND(M142/$G142,4)</f>
        <v>0</v>
      </c>
      <c r="M142" s="447">
        <v>0</v>
      </c>
      <c r="O142" s="151">
        <f t="shared" ref="O142:O146" si="93">ROUND(P142/$G142,4)</f>
        <v>0</v>
      </c>
      <c r="P142" s="447"/>
    </row>
    <row r="143" spans="2:16" ht="15" customHeight="1" x14ac:dyDescent="0.25">
      <c r="B143" s="443" t="s">
        <v>543</v>
      </c>
      <c r="C143" s="388" t="s">
        <v>544</v>
      </c>
      <c r="D143" s="380" t="s">
        <v>5</v>
      </c>
      <c r="E143" s="381">
        <v>1</v>
      </c>
      <c r="F143" s="382">
        <v>4706.1000000000004</v>
      </c>
      <c r="G143" s="305">
        <f t="shared" si="90"/>
        <v>4706.1000000000004</v>
      </c>
      <c r="I143" s="151">
        <f t="shared" si="91"/>
        <v>1</v>
      </c>
      <c r="J143" s="447">
        <v>4706.1000000000004</v>
      </c>
      <c r="K143" s="119"/>
      <c r="L143" s="151">
        <f t="shared" si="92"/>
        <v>0</v>
      </c>
      <c r="M143" s="447">
        <v>0</v>
      </c>
      <c r="O143" s="151">
        <f t="shared" si="93"/>
        <v>0</v>
      </c>
      <c r="P143" s="447"/>
    </row>
    <row r="144" spans="2:16" ht="15" customHeight="1" x14ac:dyDescent="0.25">
      <c r="B144" s="443" t="s">
        <v>545</v>
      </c>
      <c r="C144" s="388" t="s">
        <v>546</v>
      </c>
      <c r="D144" s="380" t="s">
        <v>5</v>
      </c>
      <c r="E144" s="381">
        <v>1</v>
      </c>
      <c r="F144" s="382">
        <v>1534.46</v>
      </c>
      <c r="G144" s="305">
        <f t="shared" si="90"/>
        <v>1534.46</v>
      </c>
      <c r="I144" s="151">
        <f t="shared" si="91"/>
        <v>1</v>
      </c>
      <c r="J144" s="447">
        <v>1534.46</v>
      </c>
      <c r="K144" s="119"/>
      <c r="L144" s="151">
        <f t="shared" si="92"/>
        <v>0</v>
      </c>
      <c r="M144" s="447">
        <v>0</v>
      </c>
      <c r="O144" s="151">
        <f t="shared" si="93"/>
        <v>0</v>
      </c>
      <c r="P144" s="447"/>
    </row>
    <row r="145" spans="2:16" ht="15" customHeight="1" x14ac:dyDescent="0.25">
      <c r="B145" s="443" t="s">
        <v>547</v>
      </c>
      <c r="C145" s="388" t="s">
        <v>548</v>
      </c>
      <c r="D145" s="380" t="s">
        <v>5</v>
      </c>
      <c r="E145" s="381">
        <v>1</v>
      </c>
      <c r="F145" s="382">
        <v>2800</v>
      </c>
      <c r="G145" s="305">
        <f t="shared" si="90"/>
        <v>2800</v>
      </c>
      <c r="I145" s="151">
        <f t="shared" si="91"/>
        <v>0.3</v>
      </c>
      <c r="J145" s="447">
        <v>840</v>
      </c>
      <c r="K145" s="119"/>
      <c r="L145" s="151">
        <f t="shared" si="92"/>
        <v>0.3</v>
      </c>
      <c r="M145" s="447">
        <v>840</v>
      </c>
      <c r="O145" s="151">
        <f t="shared" si="93"/>
        <v>0</v>
      </c>
      <c r="P145" s="447"/>
    </row>
    <row r="146" spans="2:16" ht="15" customHeight="1" x14ac:dyDescent="0.25">
      <c r="B146" s="443" t="s">
        <v>549</v>
      </c>
      <c r="C146" s="389" t="s">
        <v>550</v>
      </c>
      <c r="D146" s="380" t="s">
        <v>5</v>
      </c>
      <c r="E146" s="381">
        <v>1</v>
      </c>
      <c r="F146" s="382">
        <v>3800</v>
      </c>
      <c r="G146" s="305">
        <f t="shared" si="90"/>
        <v>3800</v>
      </c>
      <c r="I146" s="151">
        <f t="shared" si="91"/>
        <v>1</v>
      </c>
      <c r="J146" s="447">
        <v>3800</v>
      </c>
      <c r="K146" s="119"/>
      <c r="L146" s="151">
        <f t="shared" si="92"/>
        <v>0</v>
      </c>
      <c r="M146" s="447">
        <v>0</v>
      </c>
      <c r="O146" s="151">
        <f t="shared" si="93"/>
        <v>0</v>
      </c>
      <c r="P146" s="447"/>
    </row>
    <row r="147" spans="2:16" ht="15" customHeight="1" x14ac:dyDescent="0.25">
      <c r="B147" s="441" t="s">
        <v>551</v>
      </c>
      <c r="C147" s="386" t="s">
        <v>552</v>
      </c>
      <c r="D147" s="393"/>
      <c r="E147" s="394"/>
      <c r="F147" s="395"/>
      <c r="G147" s="306"/>
      <c r="I147" s="451"/>
      <c r="J147" s="447"/>
      <c r="K147" s="119"/>
      <c r="L147" s="447"/>
      <c r="M147" s="447"/>
      <c r="O147" s="447"/>
      <c r="P147" s="447"/>
    </row>
    <row r="148" spans="2:16" ht="15" customHeight="1" x14ac:dyDescent="0.25">
      <c r="B148" s="443" t="s">
        <v>553</v>
      </c>
      <c r="C148" s="388" t="s">
        <v>554</v>
      </c>
      <c r="D148" s="380" t="s">
        <v>5</v>
      </c>
      <c r="E148" s="381">
        <v>1</v>
      </c>
      <c r="F148" s="382">
        <f>2500+3523</f>
        <v>6023</v>
      </c>
      <c r="G148" s="305">
        <f>ROUND(E148*F148,2)</f>
        <v>6023</v>
      </c>
      <c r="I148" s="151">
        <f>ROUND(J148/$G148,4)</f>
        <v>1</v>
      </c>
      <c r="J148" s="447">
        <v>6023</v>
      </c>
      <c r="K148" s="119"/>
      <c r="L148" s="151">
        <f>ROUND(M148/$G148,4)</f>
        <v>0</v>
      </c>
      <c r="M148" s="447">
        <v>0</v>
      </c>
      <c r="O148" s="151">
        <f>ROUND(P148/$G148,4)</f>
        <v>0</v>
      </c>
      <c r="P148" s="447"/>
    </row>
    <row r="149" spans="2:16" ht="15" customHeight="1" x14ac:dyDescent="0.25">
      <c r="B149" s="441" t="s">
        <v>555</v>
      </c>
      <c r="C149" s="404" t="s">
        <v>556</v>
      </c>
      <c r="D149" s="393"/>
      <c r="E149" s="394"/>
      <c r="F149" s="395"/>
      <c r="G149" s="306"/>
      <c r="I149" s="451"/>
      <c r="J149" s="447"/>
      <c r="K149" s="119"/>
      <c r="L149" s="447"/>
      <c r="M149" s="447"/>
      <c r="O149" s="447"/>
      <c r="P149" s="447"/>
    </row>
    <row r="150" spans="2:16" ht="15" customHeight="1" x14ac:dyDescent="0.25">
      <c r="B150" s="443" t="s">
        <v>557</v>
      </c>
      <c r="C150" s="388" t="s">
        <v>558</v>
      </c>
      <c r="D150" s="380" t="s">
        <v>5</v>
      </c>
      <c r="E150" s="381">
        <v>1</v>
      </c>
      <c r="F150" s="382">
        <v>5620</v>
      </c>
      <c r="G150" s="305">
        <f t="shared" ref="G150:G155" si="94">ROUND(E150*F150,2)</f>
        <v>5620</v>
      </c>
      <c r="I150" s="151">
        <f t="shared" ref="I150:I155" si="95">ROUND(J150/$G150,4)</f>
        <v>1</v>
      </c>
      <c r="J150" s="447">
        <v>5620</v>
      </c>
      <c r="K150" s="119"/>
      <c r="L150" s="151">
        <f t="shared" ref="L150:L155" si="96">ROUND(M150/$G150,4)</f>
        <v>0</v>
      </c>
      <c r="M150" s="447">
        <v>0</v>
      </c>
      <c r="O150" s="151">
        <f t="shared" ref="O150:O155" si="97">ROUND(P150/$G150,4)</f>
        <v>0</v>
      </c>
      <c r="P150" s="447"/>
    </row>
    <row r="151" spans="2:16" ht="15" customHeight="1" x14ac:dyDescent="0.25">
      <c r="B151" s="443" t="s">
        <v>559</v>
      </c>
      <c r="C151" s="408" t="s">
        <v>560</v>
      </c>
      <c r="D151" s="380" t="s">
        <v>5</v>
      </c>
      <c r="E151" s="381">
        <v>1</v>
      </c>
      <c r="F151" s="382">
        <v>3420</v>
      </c>
      <c r="G151" s="305">
        <f t="shared" si="94"/>
        <v>3420</v>
      </c>
      <c r="I151" s="151">
        <f t="shared" si="95"/>
        <v>1</v>
      </c>
      <c r="J151" s="447">
        <v>3420</v>
      </c>
      <c r="K151" s="119"/>
      <c r="L151" s="151">
        <f t="shared" si="96"/>
        <v>0</v>
      </c>
      <c r="M151" s="447">
        <v>0</v>
      </c>
      <c r="O151" s="151">
        <f t="shared" si="97"/>
        <v>0</v>
      </c>
      <c r="P151" s="447"/>
    </row>
    <row r="152" spans="2:16" ht="15" customHeight="1" x14ac:dyDescent="0.25">
      <c r="B152" s="443" t="s">
        <v>561</v>
      </c>
      <c r="C152" s="388" t="s">
        <v>562</v>
      </c>
      <c r="D152" s="380" t="s">
        <v>563</v>
      </c>
      <c r="E152" s="381">
        <v>1</v>
      </c>
      <c r="F152" s="382">
        <v>3600</v>
      </c>
      <c r="G152" s="305">
        <f t="shared" si="94"/>
        <v>3600</v>
      </c>
      <c r="I152" s="151">
        <f t="shared" si="95"/>
        <v>0.3</v>
      </c>
      <c r="J152" s="447">
        <v>1080</v>
      </c>
      <c r="K152" s="119"/>
      <c r="L152" s="151">
        <f t="shared" si="96"/>
        <v>0.7</v>
      </c>
      <c r="M152" s="447">
        <v>2520</v>
      </c>
      <c r="O152" s="151">
        <f t="shared" si="97"/>
        <v>0</v>
      </c>
      <c r="P152" s="447"/>
    </row>
    <row r="153" spans="2:16" ht="15" customHeight="1" x14ac:dyDescent="0.25">
      <c r="B153" s="443" t="s">
        <v>564</v>
      </c>
      <c r="C153" s="388" t="s">
        <v>565</v>
      </c>
      <c r="D153" s="380" t="s">
        <v>563</v>
      </c>
      <c r="E153" s="381">
        <v>1</v>
      </c>
      <c r="F153" s="382">
        <v>1550</v>
      </c>
      <c r="G153" s="305">
        <f t="shared" si="94"/>
        <v>1550</v>
      </c>
      <c r="I153" s="151">
        <f t="shared" si="95"/>
        <v>0.3</v>
      </c>
      <c r="J153" s="447">
        <v>465</v>
      </c>
      <c r="K153" s="119"/>
      <c r="L153" s="151">
        <f t="shared" si="96"/>
        <v>0.7</v>
      </c>
      <c r="M153" s="447">
        <v>1085</v>
      </c>
      <c r="O153" s="151">
        <f t="shared" si="97"/>
        <v>0</v>
      </c>
      <c r="P153" s="447"/>
    </row>
    <row r="154" spans="2:16" ht="15" customHeight="1" x14ac:dyDescent="0.25">
      <c r="B154" s="443" t="s">
        <v>566</v>
      </c>
      <c r="C154" s="388" t="s">
        <v>567</v>
      </c>
      <c r="D154" s="380" t="s">
        <v>101</v>
      </c>
      <c r="E154" s="381">
        <v>1932.21</v>
      </c>
      <c r="F154" s="382">
        <v>1.2</v>
      </c>
      <c r="G154" s="305">
        <f t="shared" si="94"/>
        <v>2318.65</v>
      </c>
      <c r="I154" s="151">
        <f t="shared" si="95"/>
        <v>1</v>
      </c>
      <c r="J154" s="447">
        <v>2318.65</v>
      </c>
      <c r="K154" s="119"/>
      <c r="L154" s="151">
        <f t="shared" si="96"/>
        <v>0</v>
      </c>
      <c r="M154" s="447">
        <v>0</v>
      </c>
      <c r="O154" s="151">
        <f t="shared" si="97"/>
        <v>0</v>
      </c>
      <c r="P154" s="447"/>
    </row>
    <row r="155" spans="2:16" ht="15" customHeight="1" x14ac:dyDescent="0.25">
      <c r="B155" s="445" t="s">
        <v>568</v>
      </c>
      <c r="C155" s="409" t="s">
        <v>569</v>
      </c>
      <c r="D155" s="410" t="s">
        <v>101</v>
      </c>
      <c r="E155" s="411">
        <v>1932.21</v>
      </c>
      <c r="F155" s="412">
        <v>1.1200000000000001</v>
      </c>
      <c r="G155" s="308">
        <f t="shared" si="94"/>
        <v>2164.08</v>
      </c>
      <c r="I155" s="455">
        <f t="shared" si="95"/>
        <v>0</v>
      </c>
      <c r="J155" s="449">
        <v>0</v>
      </c>
      <c r="K155" s="119"/>
      <c r="L155" s="455">
        <f t="shared" si="96"/>
        <v>0</v>
      </c>
      <c r="M155" s="449">
        <v>0</v>
      </c>
      <c r="O155" s="455">
        <f t="shared" si="97"/>
        <v>0</v>
      </c>
      <c r="P155" s="449"/>
    </row>
    <row r="156" spans="2:16" ht="15" customHeight="1" x14ac:dyDescent="0.25">
      <c r="B156" s="236" t="s">
        <v>4</v>
      </c>
      <c r="C156" s="236"/>
      <c r="D156" s="313"/>
      <c r="E156" s="314"/>
      <c r="F156" s="228"/>
      <c r="G156" s="315">
        <f>ROUND(SUM(G12:G155),2)</f>
        <v>462717.27</v>
      </c>
      <c r="I156" s="516">
        <f>+J162</f>
        <v>0.62719999999999998</v>
      </c>
      <c r="J156" s="315">
        <f>ROUND(SUM(J12:J155),2)</f>
        <v>290198.67</v>
      </c>
      <c r="K156" s="119"/>
      <c r="L156" s="516">
        <f>+M162</f>
        <v>0.35099999999999998</v>
      </c>
      <c r="M156" s="315">
        <f>ROUND(SUM(M12:M155),2)</f>
        <v>162392.10999999999</v>
      </c>
      <c r="N156" s="464"/>
      <c r="O156" s="516">
        <f>+P162</f>
        <v>0</v>
      </c>
      <c r="P156" s="315">
        <f>ROUND(SUM(P12:P155),2)</f>
        <v>0</v>
      </c>
    </row>
    <row r="157" spans="2:16" ht="15" customHeight="1" x14ac:dyDescent="0.25">
      <c r="B157" s="103" t="s">
        <v>98</v>
      </c>
      <c r="D157" s="317">
        <v>0.1</v>
      </c>
      <c r="E157" s="132"/>
      <c r="F157" s="128"/>
      <c r="G157" s="318">
        <f>ROUND($D157*G$156,2)</f>
        <v>46271.73</v>
      </c>
      <c r="I157" s="517"/>
      <c r="J157" s="318">
        <f>ROUND($D157*J$156,2)</f>
        <v>29019.87</v>
      </c>
      <c r="K157" s="119"/>
      <c r="L157" s="517"/>
      <c r="M157" s="318">
        <f>ROUND($D157*M$156,2)</f>
        <v>16239.21</v>
      </c>
      <c r="N157" s="463"/>
      <c r="O157" s="517"/>
      <c r="P157" s="318">
        <f>ROUND($D157*P$156,2)</f>
        <v>0</v>
      </c>
    </row>
    <row r="158" spans="2:16" ht="15" customHeight="1" x14ac:dyDescent="0.25">
      <c r="B158" s="103" t="s">
        <v>99</v>
      </c>
      <c r="D158" s="320">
        <v>7.0000000000000007E-2</v>
      </c>
      <c r="E158" s="132"/>
      <c r="F158" s="128"/>
      <c r="G158" s="318">
        <f>ROUND($D158*G$156,2)</f>
        <v>32390.21</v>
      </c>
      <c r="I158" s="517"/>
      <c r="J158" s="318">
        <f>ROUND($D158*J$156,2)</f>
        <v>20313.91</v>
      </c>
      <c r="K158" s="119"/>
      <c r="L158" s="517"/>
      <c r="M158" s="318">
        <f>ROUND($D158*M$156,2)</f>
        <v>11367.45</v>
      </c>
      <c r="N158" s="463"/>
      <c r="O158" s="517"/>
      <c r="P158" s="318">
        <f>ROUND($D158*P$156,2)</f>
        <v>0</v>
      </c>
    </row>
    <row r="159" spans="2:16" ht="15" customHeight="1" x14ac:dyDescent="0.25">
      <c r="B159" s="236" t="s">
        <v>33</v>
      </c>
      <c r="C159" s="236"/>
      <c r="D159" s="154"/>
      <c r="E159" s="314"/>
      <c r="F159" s="228"/>
      <c r="G159" s="321">
        <f>ROUND(G156+G157+G158,2)</f>
        <v>541379.21</v>
      </c>
      <c r="I159" s="517"/>
      <c r="J159" s="321">
        <f>ROUND(J156+J157+J158,2)</f>
        <v>339532.45</v>
      </c>
      <c r="K159" s="119"/>
      <c r="L159" s="517"/>
      <c r="M159" s="321">
        <f>ROUND(M156+M157+M158,2)</f>
        <v>189998.77</v>
      </c>
      <c r="N159" s="464"/>
      <c r="O159" s="517"/>
      <c r="P159" s="321">
        <f>ROUND(P156+P157+P158,2)</f>
        <v>0</v>
      </c>
    </row>
    <row r="160" spans="2:16" ht="15" customHeight="1" x14ac:dyDescent="0.25">
      <c r="B160" s="103" t="s">
        <v>95</v>
      </c>
      <c r="D160" s="317">
        <v>0.18</v>
      </c>
      <c r="E160" s="132"/>
      <c r="F160" s="128"/>
      <c r="G160" s="318">
        <f>ROUND($D160*G$159,2)</f>
        <v>97448.26</v>
      </c>
      <c r="I160" s="517"/>
      <c r="J160" s="318">
        <f>ROUND($D160*J$159,2)</f>
        <v>61115.839999999997</v>
      </c>
      <c r="K160" s="119"/>
      <c r="L160" s="517"/>
      <c r="M160" s="318">
        <f>ROUND($D160*M$159,2)</f>
        <v>34199.78</v>
      </c>
      <c r="N160" s="463"/>
      <c r="O160" s="517"/>
      <c r="P160" s="318">
        <f>ROUND($D160*P$159,2)</f>
        <v>0</v>
      </c>
    </row>
    <row r="161" spans="2:16" ht="15" customHeight="1" x14ac:dyDescent="0.25">
      <c r="B161" s="236" t="s">
        <v>205</v>
      </c>
      <c r="C161" s="236"/>
      <c r="D161" s="313"/>
      <c r="E161" s="314"/>
      <c r="F161" s="228"/>
      <c r="G161" s="321">
        <f>ROUND(G159+G160,2)</f>
        <v>638827.47</v>
      </c>
      <c r="I161" s="517"/>
      <c r="J161" s="321">
        <f>ROUND(J159+J160,2)</f>
        <v>400648.29</v>
      </c>
      <c r="K161" s="119"/>
      <c r="L161" s="517"/>
      <c r="M161" s="321">
        <f>ROUND(M159+M160,2)</f>
        <v>224198.55</v>
      </c>
      <c r="N161" s="464"/>
      <c r="O161" s="517"/>
      <c r="P161" s="321">
        <f>ROUND(P159+P160,2)</f>
        <v>0</v>
      </c>
    </row>
    <row r="162" spans="2:16" ht="15" customHeight="1" x14ac:dyDescent="0.25">
      <c r="B162" s="103" t="s">
        <v>579</v>
      </c>
      <c r="E162" s="132"/>
      <c r="F162" s="128"/>
      <c r="G162" s="323">
        <f>ROUND(G156/$G156,4)</f>
        <v>1</v>
      </c>
      <c r="I162" s="517"/>
      <c r="J162" s="323">
        <f>ROUND(J156/$G156,4)</f>
        <v>0.62719999999999998</v>
      </c>
      <c r="K162" s="119"/>
      <c r="L162" s="517"/>
      <c r="M162" s="323">
        <f>ROUND(M156/$G156,4)</f>
        <v>0.35099999999999998</v>
      </c>
      <c r="N162" s="133"/>
      <c r="O162" s="517"/>
      <c r="P162" s="323">
        <f>ROUND(P156/$G156,4)</f>
        <v>0</v>
      </c>
    </row>
    <row r="163" spans="2:16" ht="15" customHeight="1" x14ac:dyDescent="0.25">
      <c r="B163" s="103" t="s">
        <v>580</v>
      </c>
      <c r="G163" s="323">
        <f>ROUND(G157/$G157,4)</f>
        <v>1</v>
      </c>
      <c r="I163" s="517"/>
      <c r="J163" s="323">
        <f>ROUND(J157/$G157,4)</f>
        <v>0.62719999999999998</v>
      </c>
      <c r="K163" s="119"/>
      <c r="L163" s="517"/>
      <c r="M163" s="323">
        <f>+J163+M162</f>
        <v>0.97819999999999996</v>
      </c>
      <c r="O163" s="517"/>
      <c r="P163" s="323">
        <f>+M163+P162</f>
        <v>0.97819999999999996</v>
      </c>
    </row>
  </sheetData>
  <mergeCells count="11">
    <mergeCell ref="I156:I163"/>
    <mergeCell ref="L156:L163"/>
    <mergeCell ref="O156:O163"/>
    <mergeCell ref="O9:P9"/>
    <mergeCell ref="B1:P1"/>
    <mergeCell ref="C2:M2"/>
    <mergeCell ref="B9:B11"/>
    <mergeCell ref="C9:C11"/>
    <mergeCell ref="I9:J9"/>
    <mergeCell ref="L9:M9"/>
    <mergeCell ref="D9:G10"/>
  </mergeCells>
  <phoneticPr fontId="12" type="noConversion"/>
  <printOptions horizontalCentered="1"/>
  <pageMargins left="0.59055118110236227" right="0.59055118110236227" top="0.78740157480314965" bottom="0.59055118110236227" header="0" footer="0"/>
  <pageSetup paperSize="9" scale="59" fitToHeight="0" orientation="landscape" horizontalDpi="4294967294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7D2D-F9AC-43CF-A17D-EFCD584962F5}">
  <sheetPr>
    <tabColor rgb="FFFF0000"/>
    <pageSetUpPr fitToPage="1"/>
  </sheetPr>
  <dimension ref="B1:AD170"/>
  <sheetViews>
    <sheetView showGridLines="0" showZeros="0" view="pageBreakPreview" zoomScale="70" zoomScaleNormal="100" zoomScaleSheetLayoutView="70" workbookViewId="0">
      <pane xSplit="1" ySplit="11" topLeftCell="B156" activePane="bottomRight" state="frozen"/>
      <selection pane="topRight" activeCell="B1" sqref="B1"/>
      <selection pane="bottomLeft" activeCell="A10" sqref="A10"/>
      <selection pane="bottomRight" activeCell="S17" sqref="S17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1.88671875" style="103" customWidth="1"/>
    <col min="3" max="3" width="80.6640625" style="103" customWidth="1"/>
    <col min="4" max="4" width="9.109375" style="122" bestFit="1" customWidth="1"/>
    <col min="5" max="5" width="10.6640625" style="123" customWidth="1"/>
    <col min="6" max="6" width="11.44140625" style="103" bestFit="1" customWidth="1"/>
    <col min="7" max="7" width="16" style="119" bestFit="1" customWidth="1"/>
    <col min="8" max="8" width="0.88671875" style="119" customWidth="1"/>
    <col min="9" max="11" width="12.6640625" style="119" customWidth="1"/>
    <col min="12" max="12" width="0.88671875" style="119" customWidth="1"/>
    <col min="13" max="13" width="12.6640625" style="119" customWidth="1"/>
    <col min="14" max="15" width="12.6640625" style="103" customWidth="1"/>
    <col min="16" max="16" width="0.88671875" style="103" customWidth="1"/>
    <col min="17" max="19" width="12.6640625" style="103" customWidth="1"/>
    <col min="20" max="20" width="0.88671875" style="103" customWidth="1"/>
    <col min="21" max="23" width="12.6640625" style="103" customWidth="1"/>
    <col min="24" max="24" width="1.6640625" style="103" customWidth="1"/>
    <col min="25" max="25" width="15.6640625" style="103" customWidth="1"/>
    <col min="26" max="26" width="13.6640625" style="103" bestFit="1" customWidth="1"/>
    <col min="27" max="27" width="11.33203125" style="104" bestFit="1" customWidth="1"/>
    <col min="28" max="28" width="10.33203125" style="103"/>
    <col min="29" max="29" width="10.109375" style="103" bestFit="1" customWidth="1"/>
    <col min="30" max="16384" width="10.33203125" style="103"/>
  </cols>
  <sheetData>
    <row r="1" spans="2:30" s="105" customFormat="1" ht="30" customHeight="1" thickBot="1" x14ac:dyDescent="0.3">
      <c r="B1" s="617" t="s">
        <v>611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9"/>
      <c r="X1" s="103"/>
      <c r="Y1" s="103"/>
      <c r="Z1" s="103"/>
      <c r="AA1" s="104"/>
      <c r="AB1" s="103"/>
      <c r="AC1" s="103"/>
      <c r="AD1" s="103"/>
    </row>
    <row r="2" spans="2:30" s="105" customFormat="1" ht="30" customHeight="1" x14ac:dyDescent="0.25">
      <c r="B2" s="506" t="str">
        <f>+FT!E20</f>
        <v>CONTRATO DE EJECUCIÓN DE OBRA N°004-2026-MDPM/GM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103"/>
      <c r="Y2" s="103"/>
      <c r="Z2" s="103"/>
      <c r="AA2" s="104"/>
      <c r="AB2" s="103"/>
      <c r="AC2" s="103"/>
      <c r="AD2" s="103"/>
    </row>
    <row r="3" spans="2:30" s="105" customFormat="1" ht="15" customHeight="1" x14ac:dyDescent="0.25">
      <c r="B3" s="188" t="s">
        <v>586</v>
      </c>
      <c r="C3" s="507" t="s">
        <v>312</v>
      </c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326"/>
    </row>
    <row r="4" spans="2:30" s="105" customFormat="1" ht="15" customHeight="1" x14ac:dyDescent="0.25">
      <c r="B4" s="236" t="s">
        <v>587</v>
      </c>
      <c r="C4" s="103" t="s">
        <v>107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spans="2:30" s="105" customFormat="1" ht="15" customHeight="1" x14ac:dyDescent="0.25">
      <c r="B5" s="236" t="s">
        <v>583</v>
      </c>
      <c r="C5" s="103" t="str">
        <f>+FT!$E$15</f>
        <v>CONSORCIO EJECUTOR LOS PINOS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</row>
    <row r="6" spans="2:30" s="105" customFormat="1" ht="15" customHeight="1" x14ac:dyDescent="0.25">
      <c r="B6" s="236" t="s">
        <v>630</v>
      </c>
      <c r="C6" s="103" t="str">
        <f>+FT!$E$34</f>
        <v>PROYECTA PCL S.A.C</v>
      </c>
      <c r="D6" s="104" t="s">
        <v>212</v>
      </c>
      <c r="E6" s="103"/>
      <c r="F6" s="103"/>
      <c r="G6" s="251">
        <v>638827.47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 spans="2:30" s="105" customFormat="1" ht="15" customHeight="1" x14ac:dyDescent="0.25">
      <c r="B7" s="236" t="s">
        <v>588</v>
      </c>
      <c r="C7" s="103" t="str">
        <f>+FT!$E$32</f>
        <v>ING. RAMIREZ BLANCO GABRIEL AUGUSTO HERMOGENES</v>
      </c>
      <c r="D7" s="104" t="s">
        <v>215</v>
      </c>
      <c r="E7" s="103"/>
      <c r="F7" s="103"/>
      <c r="G7" s="251">
        <v>638827.47</v>
      </c>
      <c r="H7" s="103"/>
      <c r="I7" s="103"/>
      <c r="J7" s="103"/>
      <c r="K7" s="103"/>
      <c r="L7" s="103"/>
      <c r="P7" s="103"/>
      <c r="Q7" s="103"/>
      <c r="R7" s="103"/>
      <c r="S7" s="103"/>
      <c r="T7" s="103"/>
      <c r="U7" s="103"/>
      <c r="V7" s="103"/>
      <c r="W7" s="103"/>
    </row>
    <row r="8" spans="2:30" s="105" customFormat="1" ht="15" customHeight="1" x14ac:dyDescent="0.25">
      <c r="B8" s="236" t="s">
        <v>631</v>
      </c>
      <c r="C8" s="103" t="str">
        <f>+FT!$E$46</f>
        <v>ING. CESAR RICARDO ZELADA RODRIGUEZ (CIP N°
98469)</v>
      </c>
      <c r="D8" s="103" t="s">
        <v>214</v>
      </c>
      <c r="E8" s="103"/>
      <c r="G8" s="103" t="s">
        <v>203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</row>
    <row r="9" spans="2:30" ht="7.5" customHeight="1" thickBot="1" x14ac:dyDescent="0.3">
      <c r="E9" s="103"/>
      <c r="G9" s="103"/>
      <c r="H9" s="103"/>
      <c r="I9" s="103"/>
      <c r="J9" s="103"/>
      <c r="K9" s="103"/>
      <c r="L9" s="103"/>
      <c r="M9" s="103"/>
    </row>
    <row r="10" spans="2:30" ht="30" customHeight="1" x14ac:dyDescent="0.25">
      <c r="B10" s="703" t="s">
        <v>10</v>
      </c>
      <c r="C10" s="610" t="s">
        <v>16</v>
      </c>
      <c r="D10" s="610" t="s">
        <v>204</v>
      </c>
      <c r="E10" s="610"/>
      <c r="F10" s="610"/>
      <c r="G10" s="611"/>
      <c r="H10" s="122"/>
      <c r="I10" s="706" t="s">
        <v>160</v>
      </c>
      <c r="J10" s="707"/>
      <c r="K10" s="708"/>
      <c r="L10" s="671"/>
      <c r="M10" s="673" t="s">
        <v>163</v>
      </c>
      <c r="N10" s="674"/>
      <c r="O10" s="675"/>
      <c r="P10" s="672"/>
      <c r="Q10" s="711" t="s">
        <v>161</v>
      </c>
      <c r="R10" s="712"/>
      <c r="S10" s="713"/>
      <c r="T10" s="672"/>
      <c r="U10" s="711" t="s">
        <v>0</v>
      </c>
      <c r="V10" s="712"/>
      <c r="W10" s="713"/>
    </row>
    <row r="11" spans="2:30" s="137" customFormat="1" ht="15" customHeight="1" thickBot="1" x14ac:dyDescent="0.3">
      <c r="B11" s="704"/>
      <c r="C11" s="705"/>
      <c r="D11" s="614" t="s">
        <v>50</v>
      </c>
      <c r="E11" s="615" t="s">
        <v>1</v>
      </c>
      <c r="F11" s="614" t="s">
        <v>55</v>
      </c>
      <c r="G11" s="616" t="s">
        <v>2</v>
      </c>
      <c r="H11" s="379"/>
      <c r="I11" s="709" t="s">
        <v>1</v>
      </c>
      <c r="J11" s="614" t="s">
        <v>100</v>
      </c>
      <c r="K11" s="710" t="s">
        <v>3</v>
      </c>
      <c r="L11" s="236"/>
      <c r="M11" s="676" t="s">
        <v>1</v>
      </c>
      <c r="N11" s="677" t="s">
        <v>100</v>
      </c>
      <c r="O11" s="678" t="s">
        <v>3</v>
      </c>
      <c r="P11" s="236"/>
      <c r="Q11" s="709" t="s">
        <v>1</v>
      </c>
      <c r="R11" s="614" t="s">
        <v>100</v>
      </c>
      <c r="S11" s="710" t="s">
        <v>3</v>
      </c>
      <c r="T11" s="313"/>
      <c r="U11" s="709" t="s">
        <v>1</v>
      </c>
      <c r="V11" s="614" t="s">
        <v>100</v>
      </c>
      <c r="W11" s="710" t="s">
        <v>3</v>
      </c>
      <c r="X11" s="103"/>
      <c r="Y11" s="135"/>
      <c r="Z11" s="136"/>
      <c r="AA11" s="135"/>
      <c r="AB11" s="135"/>
    </row>
    <row r="12" spans="2:30" s="104" customFormat="1" ht="15" customHeight="1" x14ac:dyDescent="0.25">
      <c r="B12" s="620" t="s">
        <v>6</v>
      </c>
      <c r="C12" s="621" t="s">
        <v>313</v>
      </c>
      <c r="D12" s="622"/>
      <c r="E12" s="623"/>
      <c r="F12" s="624"/>
      <c r="G12" s="383"/>
      <c r="H12" s="142"/>
      <c r="I12" s="263"/>
      <c r="J12" s="296"/>
      <c r="K12" s="255"/>
      <c r="L12" s="384"/>
      <c r="M12" s="679"/>
      <c r="N12" s="680"/>
      <c r="O12" s="681"/>
      <c r="P12" s="134"/>
      <c r="Q12" s="254"/>
      <c r="R12" s="254"/>
      <c r="S12" s="255"/>
      <c r="T12" s="385"/>
      <c r="U12" s="254"/>
      <c r="V12" s="254"/>
      <c r="W12" s="255"/>
      <c r="Y12" s="118"/>
      <c r="Z12" s="119"/>
      <c r="AA12" s="118"/>
      <c r="AB12" s="118"/>
    </row>
    <row r="13" spans="2:30" s="104" customFormat="1" ht="15" customHeight="1" x14ac:dyDescent="0.25">
      <c r="B13" s="441" t="s">
        <v>171</v>
      </c>
      <c r="C13" s="386" t="s">
        <v>314</v>
      </c>
      <c r="D13" s="380"/>
      <c r="E13" s="381"/>
      <c r="F13" s="382"/>
      <c r="G13" s="305"/>
      <c r="H13" s="142"/>
      <c r="I13" s="144"/>
      <c r="J13" s="297"/>
      <c r="K13" s="145"/>
      <c r="L13" s="384"/>
      <c r="M13" s="682"/>
      <c r="N13" s="683"/>
      <c r="O13" s="684"/>
      <c r="P13" s="134"/>
      <c r="Q13" s="149"/>
      <c r="R13" s="149"/>
      <c r="S13" s="145"/>
      <c r="T13" s="385"/>
      <c r="U13" s="149"/>
      <c r="V13" s="149"/>
      <c r="W13" s="145"/>
      <c r="Y13" s="118"/>
      <c r="Z13" s="119"/>
      <c r="AA13" s="118"/>
      <c r="AB13" s="118"/>
    </row>
    <row r="14" spans="2:30" s="104" customFormat="1" ht="15" customHeight="1" x14ac:dyDescent="0.25">
      <c r="B14" s="442" t="s">
        <v>315</v>
      </c>
      <c r="C14" s="387" t="s">
        <v>224</v>
      </c>
      <c r="D14" s="380"/>
      <c r="E14" s="381"/>
      <c r="F14" s="382"/>
      <c r="G14" s="305"/>
      <c r="H14" s="142"/>
      <c r="I14" s="144"/>
      <c r="J14" s="297"/>
      <c r="K14" s="145"/>
      <c r="L14" s="384"/>
      <c r="M14" s="682"/>
      <c r="N14" s="683"/>
      <c r="O14" s="684"/>
      <c r="P14" s="134"/>
      <c r="Q14" s="149"/>
      <c r="R14" s="149"/>
      <c r="S14" s="145"/>
      <c r="T14" s="385"/>
      <c r="U14" s="149"/>
      <c r="V14" s="149"/>
      <c r="W14" s="145"/>
      <c r="Y14" s="118"/>
      <c r="Z14" s="119"/>
      <c r="AA14" s="118"/>
      <c r="AB14" s="118"/>
    </row>
    <row r="15" spans="2:30" s="104" customFormat="1" ht="15" customHeight="1" x14ac:dyDescent="0.25">
      <c r="B15" s="443" t="s">
        <v>316</v>
      </c>
      <c r="C15" s="388" t="s">
        <v>317</v>
      </c>
      <c r="D15" s="380" t="s">
        <v>318</v>
      </c>
      <c r="E15" s="381">
        <v>2</v>
      </c>
      <c r="F15" s="382">
        <v>2400</v>
      </c>
      <c r="G15" s="305">
        <f>ROUND(E15*F15,2)</f>
        <v>4800</v>
      </c>
      <c r="H15" s="142"/>
      <c r="I15" s="144">
        <v>1</v>
      </c>
      <c r="J15" s="297">
        <v>2400</v>
      </c>
      <c r="K15" s="145">
        <v>0.5</v>
      </c>
      <c r="L15" s="384"/>
      <c r="M15" s="682">
        <v>0.48</v>
      </c>
      <c r="N15" s="683">
        <f>ROUND(M15*$F15,2)</f>
        <v>1152</v>
      </c>
      <c r="O15" s="684">
        <f>ROUND(N15/$G15,4)</f>
        <v>0.24</v>
      </c>
      <c r="P15" s="134"/>
      <c r="Q15" s="149">
        <f>+I15+M15</f>
        <v>1.48</v>
      </c>
      <c r="R15" s="149">
        <f>+J15+N15</f>
        <v>3552</v>
      </c>
      <c r="S15" s="145">
        <f>+K15+O15</f>
        <v>0.74</v>
      </c>
      <c r="T15" s="385"/>
      <c r="U15" s="149">
        <f>+E15-Q15</f>
        <v>0.52</v>
      </c>
      <c r="V15" s="149">
        <f>+G15-R15</f>
        <v>1248</v>
      </c>
      <c r="W15" s="145">
        <f>1-S15</f>
        <v>0.26</v>
      </c>
      <c r="Y15" s="118"/>
      <c r="Z15" s="119"/>
      <c r="AA15" s="118"/>
      <c r="AB15" s="118"/>
    </row>
    <row r="16" spans="2:30" s="104" customFormat="1" ht="15" customHeight="1" x14ac:dyDescent="0.25">
      <c r="B16" s="443" t="s">
        <v>319</v>
      </c>
      <c r="C16" s="389" t="s">
        <v>320</v>
      </c>
      <c r="D16" s="380" t="s">
        <v>233</v>
      </c>
      <c r="E16" s="381">
        <v>1</v>
      </c>
      <c r="F16" s="382">
        <v>1205.49</v>
      </c>
      <c r="G16" s="305">
        <f t="shared" ref="G16:G17" si="0">ROUND(E16*F16,2)</f>
        <v>1205.49</v>
      </c>
      <c r="H16" s="142"/>
      <c r="I16" s="144">
        <v>1</v>
      </c>
      <c r="J16" s="297">
        <v>1205.49</v>
      </c>
      <c r="K16" s="145">
        <v>1</v>
      </c>
      <c r="L16" s="384"/>
      <c r="M16" s="682"/>
      <c r="N16" s="683">
        <f t="shared" ref="N16:N17" si="1">ROUND(M16*$F16,2)</f>
        <v>0</v>
      </c>
      <c r="O16" s="684">
        <f t="shared" ref="O16:O17" si="2">ROUND(N16/$G16,4)</f>
        <v>0</v>
      </c>
      <c r="P16" s="134"/>
      <c r="Q16" s="149">
        <f t="shared" ref="Q16:S17" si="3">+I16+M16</f>
        <v>1</v>
      </c>
      <c r="R16" s="149">
        <f t="shared" si="3"/>
        <v>1205.49</v>
      </c>
      <c r="S16" s="145">
        <f t="shared" si="3"/>
        <v>1</v>
      </c>
      <c r="T16" s="385"/>
      <c r="U16" s="149">
        <f t="shared" ref="U16:U17" si="4">+E16-Q16</f>
        <v>0</v>
      </c>
      <c r="V16" s="149">
        <f t="shared" ref="V16:V17" si="5">+G16-R16</f>
        <v>0</v>
      </c>
      <c r="W16" s="145">
        <f t="shared" ref="W16:W17" si="6">1-S16</f>
        <v>0</v>
      </c>
      <c r="Y16" s="118"/>
      <c r="Z16" s="119"/>
      <c r="AA16" s="118"/>
      <c r="AB16" s="118"/>
    </row>
    <row r="17" spans="2:28" s="104" customFormat="1" ht="15" customHeight="1" x14ac:dyDescent="0.25">
      <c r="B17" s="443" t="s">
        <v>321</v>
      </c>
      <c r="C17" s="388" t="s">
        <v>322</v>
      </c>
      <c r="D17" s="380" t="s">
        <v>318</v>
      </c>
      <c r="E17" s="381">
        <v>2</v>
      </c>
      <c r="F17" s="382">
        <v>850</v>
      </c>
      <c r="G17" s="305">
        <f t="shared" si="0"/>
        <v>1700</v>
      </c>
      <c r="H17" s="142"/>
      <c r="I17" s="144">
        <v>1</v>
      </c>
      <c r="J17" s="297">
        <v>850</v>
      </c>
      <c r="K17" s="145">
        <v>0.5</v>
      </c>
      <c r="L17" s="384"/>
      <c r="M17" s="682">
        <v>0.48</v>
      </c>
      <c r="N17" s="683">
        <f t="shared" si="1"/>
        <v>408</v>
      </c>
      <c r="O17" s="684">
        <f t="shared" si="2"/>
        <v>0.24</v>
      </c>
      <c r="P17" s="134"/>
      <c r="Q17" s="149">
        <f t="shared" si="3"/>
        <v>1.48</v>
      </c>
      <c r="R17" s="149">
        <f t="shared" si="3"/>
        <v>1258</v>
      </c>
      <c r="S17" s="145">
        <f t="shared" si="3"/>
        <v>0.74</v>
      </c>
      <c r="T17" s="385"/>
      <c r="U17" s="149">
        <f t="shared" si="4"/>
        <v>0.52</v>
      </c>
      <c r="V17" s="149">
        <f t="shared" si="5"/>
        <v>442</v>
      </c>
      <c r="W17" s="145">
        <f t="shared" si="6"/>
        <v>0.26</v>
      </c>
      <c r="Y17" s="118"/>
      <c r="Z17" s="119"/>
      <c r="AA17" s="118"/>
      <c r="AB17" s="118"/>
    </row>
    <row r="18" spans="2:28" s="104" customFormat="1" ht="15" customHeight="1" x14ac:dyDescent="0.25">
      <c r="B18" s="442" t="s">
        <v>323</v>
      </c>
      <c r="C18" s="387" t="s">
        <v>225</v>
      </c>
      <c r="D18" s="390"/>
      <c r="E18" s="391"/>
      <c r="F18" s="392"/>
      <c r="G18" s="305">
        <f>ROUND(E18*F18,2)</f>
        <v>0</v>
      </c>
      <c r="H18" s="142"/>
      <c r="I18" s="144"/>
      <c r="J18" s="297"/>
      <c r="K18" s="145"/>
      <c r="L18" s="384"/>
      <c r="M18" s="682"/>
      <c r="N18" s="683"/>
      <c r="O18" s="684"/>
      <c r="P18" s="134"/>
      <c r="Q18" s="149"/>
      <c r="R18" s="149"/>
      <c r="S18" s="145"/>
      <c r="T18" s="385"/>
      <c r="U18" s="149"/>
      <c r="V18" s="149"/>
      <c r="W18" s="145"/>
      <c r="Y18" s="118"/>
      <c r="Z18" s="119"/>
      <c r="AA18" s="118"/>
      <c r="AB18" s="118"/>
    </row>
    <row r="19" spans="2:28" s="104" customFormat="1" ht="15" customHeight="1" x14ac:dyDescent="0.25">
      <c r="B19" s="443" t="s">
        <v>324</v>
      </c>
      <c r="C19" s="388" t="s">
        <v>229</v>
      </c>
      <c r="D19" s="380" t="s">
        <v>101</v>
      </c>
      <c r="E19" s="381">
        <v>1932.21</v>
      </c>
      <c r="F19" s="382">
        <v>1.06</v>
      </c>
      <c r="G19" s="305">
        <f t="shared" ref="G19:G24" si="7">ROUND(E19*F19,2)</f>
        <v>2048.14</v>
      </c>
      <c r="H19" s="142"/>
      <c r="I19" s="144">
        <v>1932.21</v>
      </c>
      <c r="J19" s="297">
        <v>2048.14</v>
      </c>
      <c r="K19" s="145">
        <v>1</v>
      </c>
      <c r="L19" s="384"/>
      <c r="M19" s="682"/>
      <c r="N19" s="683">
        <f t="shared" ref="N19:N21" si="8">ROUND(M19*$F19,2)</f>
        <v>0</v>
      </c>
      <c r="O19" s="684">
        <f t="shared" ref="O19:O21" si="9">ROUND(N19/$G19,4)</f>
        <v>0</v>
      </c>
      <c r="P19" s="134"/>
      <c r="Q19" s="149">
        <f t="shared" ref="Q19:S21" si="10">+I19+M19</f>
        <v>1932.21</v>
      </c>
      <c r="R19" s="149">
        <f t="shared" si="10"/>
        <v>2048.14</v>
      </c>
      <c r="S19" s="145">
        <f t="shared" si="10"/>
        <v>1</v>
      </c>
      <c r="T19" s="385"/>
      <c r="U19" s="149">
        <f t="shared" ref="U19:U21" si="11">+E19-Q19</f>
        <v>0</v>
      </c>
      <c r="V19" s="149">
        <f t="shared" ref="V19:V21" si="12">+G19-R19</f>
        <v>0</v>
      </c>
      <c r="W19" s="145">
        <f t="shared" ref="W19:W21" si="13">1-S19</f>
        <v>0</v>
      </c>
      <c r="Y19" s="118"/>
      <c r="Z19" s="119"/>
      <c r="AA19" s="118"/>
      <c r="AB19" s="118"/>
    </row>
    <row r="20" spans="2:28" s="104" customFormat="1" ht="15" customHeight="1" x14ac:dyDescent="0.25">
      <c r="B20" s="443" t="s">
        <v>325</v>
      </c>
      <c r="C20" s="388" t="s">
        <v>230</v>
      </c>
      <c r="D20" s="380" t="s">
        <v>101</v>
      </c>
      <c r="E20" s="381">
        <v>1932.21</v>
      </c>
      <c r="F20" s="382">
        <v>4.32</v>
      </c>
      <c r="G20" s="305">
        <f t="shared" si="7"/>
        <v>8347.15</v>
      </c>
      <c r="H20" s="142"/>
      <c r="I20" s="144">
        <v>1932.21</v>
      </c>
      <c r="J20" s="297">
        <v>8347.15</v>
      </c>
      <c r="K20" s="145">
        <v>1</v>
      </c>
      <c r="L20" s="384"/>
      <c r="M20" s="682"/>
      <c r="N20" s="683">
        <f t="shared" si="8"/>
        <v>0</v>
      </c>
      <c r="O20" s="684">
        <f t="shared" si="9"/>
        <v>0</v>
      </c>
      <c r="P20" s="134"/>
      <c r="Q20" s="149">
        <f t="shared" si="10"/>
        <v>1932.21</v>
      </c>
      <c r="R20" s="149">
        <f t="shared" si="10"/>
        <v>8347.15</v>
      </c>
      <c r="S20" s="145">
        <f t="shared" si="10"/>
        <v>1</v>
      </c>
      <c r="T20" s="385"/>
      <c r="U20" s="149">
        <f t="shared" si="11"/>
        <v>0</v>
      </c>
      <c r="V20" s="149">
        <f t="shared" si="12"/>
        <v>0</v>
      </c>
      <c r="W20" s="145">
        <f t="shared" si="13"/>
        <v>0</v>
      </c>
      <c r="Y20" s="118"/>
      <c r="Z20" s="119"/>
      <c r="AA20" s="118"/>
      <c r="AB20" s="118"/>
    </row>
    <row r="21" spans="2:28" s="104" customFormat="1" ht="15" customHeight="1" x14ac:dyDescent="0.25">
      <c r="B21" s="443" t="s">
        <v>326</v>
      </c>
      <c r="C21" s="388" t="s">
        <v>327</v>
      </c>
      <c r="D21" s="380" t="s">
        <v>5</v>
      </c>
      <c r="E21" s="381">
        <v>1</v>
      </c>
      <c r="F21" s="382">
        <v>2500</v>
      </c>
      <c r="G21" s="305">
        <f t="shared" si="7"/>
        <v>2500</v>
      </c>
      <c r="H21" s="142"/>
      <c r="I21" s="144">
        <v>1</v>
      </c>
      <c r="J21" s="297">
        <v>2500</v>
      </c>
      <c r="K21" s="145">
        <v>1</v>
      </c>
      <c r="L21" s="384"/>
      <c r="M21" s="682"/>
      <c r="N21" s="683">
        <f t="shared" si="8"/>
        <v>0</v>
      </c>
      <c r="O21" s="684">
        <f t="shared" si="9"/>
        <v>0</v>
      </c>
      <c r="P21" s="134"/>
      <c r="Q21" s="149">
        <f t="shared" si="10"/>
        <v>1</v>
      </c>
      <c r="R21" s="149">
        <f t="shared" si="10"/>
        <v>2500</v>
      </c>
      <c r="S21" s="145">
        <f t="shared" si="10"/>
        <v>1</v>
      </c>
      <c r="T21" s="385"/>
      <c r="U21" s="149">
        <f t="shared" si="11"/>
        <v>0</v>
      </c>
      <c r="V21" s="149">
        <f t="shared" si="12"/>
        <v>0</v>
      </c>
      <c r="W21" s="145">
        <f t="shared" si="13"/>
        <v>0</v>
      </c>
      <c r="Y21" s="118"/>
      <c r="Z21" s="119"/>
      <c r="AA21" s="118"/>
      <c r="AB21" s="118"/>
    </row>
    <row r="22" spans="2:28" s="104" customFormat="1" ht="15" customHeight="1" x14ac:dyDescent="0.25">
      <c r="B22" s="442" t="s">
        <v>328</v>
      </c>
      <c r="C22" s="387" t="s">
        <v>329</v>
      </c>
      <c r="D22" s="390"/>
      <c r="E22" s="391"/>
      <c r="F22" s="392"/>
      <c r="G22" s="305">
        <f t="shared" si="7"/>
        <v>0</v>
      </c>
      <c r="H22" s="142"/>
      <c r="I22" s="144"/>
      <c r="J22" s="297"/>
      <c r="K22" s="145"/>
      <c r="L22" s="384"/>
      <c r="M22" s="682"/>
      <c r="N22" s="683"/>
      <c r="O22" s="684"/>
      <c r="P22" s="134"/>
      <c r="Q22" s="149"/>
      <c r="R22" s="149"/>
      <c r="S22" s="145"/>
      <c r="T22" s="385"/>
      <c r="U22" s="149"/>
      <c r="V22" s="149"/>
      <c r="W22" s="145"/>
      <c r="Y22" s="118"/>
      <c r="Z22" s="119"/>
      <c r="AA22" s="118"/>
      <c r="AB22" s="118"/>
    </row>
    <row r="23" spans="2:28" s="104" customFormat="1" ht="15" customHeight="1" x14ac:dyDescent="0.25">
      <c r="B23" s="443" t="s">
        <v>330</v>
      </c>
      <c r="C23" s="388" t="s">
        <v>331</v>
      </c>
      <c r="D23" s="380" t="s">
        <v>101</v>
      </c>
      <c r="E23" s="381">
        <v>135.5</v>
      </c>
      <c r="F23" s="382">
        <v>21.33</v>
      </c>
      <c r="G23" s="305">
        <f t="shared" si="7"/>
        <v>2890.22</v>
      </c>
      <c r="H23" s="142"/>
      <c r="I23" s="144">
        <v>135.5</v>
      </c>
      <c r="J23" s="297">
        <v>2890.22</v>
      </c>
      <c r="K23" s="145">
        <v>1</v>
      </c>
      <c r="L23" s="384"/>
      <c r="M23" s="682"/>
      <c r="N23" s="683">
        <f t="shared" ref="N23:N24" si="14">ROUND(M23*$F23,2)</f>
        <v>0</v>
      </c>
      <c r="O23" s="684">
        <f t="shared" ref="O23:O24" si="15">ROUND(N23/$G23,4)</f>
        <v>0</v>
      </c>
      <c r="P23" s="134"/>
      <c r="Q23" s="149">
        <f t="shared" ref="Q23:S24" si="16">+I23+M23</f>
        <v>135.5</v>
      </c>
      <c r="R23" s="149">
        <f t="shared" si="16"/>
        <v>2890.22</v>
      </c>
      <c r="S23" s="145">
        <f t="shared" si="16"/>
        <v>1</v>
      </c>
      <c r="T23" s="385"/>
      <c r="U23" s="149">
        <f t="shared" ref="U23:U24" si="17">+E23-Q23</f>
        <v>0</v>
      </c>
      <c r="V23" s="149">
        <f t="shared" ref="V23:V24" si="18">+G23-R23</f>
        <v>0</v>
      </c>
      <c r="W23" s="145">
        <f t="shared" ref="W23:W24" si="19">1-S23</f>
        <v>0</v>
      </c>
      <c r="Y23" s="118"/>
      <c r="Z23" s="119"/>
      <c r="AA23" s="118"/>
      <c r="AB23" s="118"/>
    </row>
    <row r="24" spans="2:28" s="104" customFormat="1" ht="15" customHeight="1" x14ac:dyDescent="0.25">
      <c r="B24" s="443" t="s">
        <v>332</v>
      </c>
      <c r="C24" s="389" t="s">
        <v>333</v>
      </c>
      <c r="D24" s="380" t="s">
        <v>234</v>
      </c>
      <c r="E24" s="381">
        <v>20.329999999999998</v>
      </c>
      <c r="F24" s="382">
        <v>18.98</v>
      </c>
      <c r="G24" s="305">
        <f t="shared" si="7"/>
        <v>385.86</v>
      </c>
      <c r="H24" s="142"/>
      <c r="I24" s="144">
        <v>20.329999999999998</v>
      </c>
      <c r="J24" s="297">
        <v>385.86</v>
      </c>
      <c r="K24" s="145">
        <v>1</v>
      </c>
      <c r="L24" s="384"/>
      <c r="M24" s="682"/>
      <c r="N24" s="683">
        <f t="shared" si="14"/>
        <v>0</v>
      </c>
      <c r="O24" s="684">
        <f t="shared" si="15"/>
        <v>0</v>
      </c>
      <c r="P24" s="134"/>
      <c r="Q24" s="149">
        <f t="shared" si="16"/>
        <v>20.329999999999998</v>
      </c>
      <c r="R24" s="149">
        <f t="shared" si="16"/>
        <v>385.86</v>
      </c>
      <c r="S24" s="145">
        <f t="shared" si="16"/>
        <v>1</v>
      </c>
      <c r="T24" s="385"/>
      <c r="U24" s="149">
        <f t="shared" si="17"/>
        <v>0</v>
      </c>
      <c r="V24" s="149">
        <f t="shared" si="18"/>
        <v>0</v>
      </c>
      <c r="W24" s="145">
        <f t="shared" si="19"/>
        <v>0</v>
      </c>
      <c r="Y24" s="118"/>
      <c r="Z24" s="119"/>
      <c r="AA24" s="118"/>
      <c r="AB24" s="118"/>
    </row>
    <row r="25" spans="2:28" s="104" customFormat="1" ht="15" customHeight="1" x14ac:dyDescent="0.25">
      <c r="B25" s="442" t="s">
        <v>334</v>
      </c>
      <c r="C25" s="387" t="s">
        <v>335</v>
      </c>
      <c r="D25" s="390"/>
      <c r="E25" s="391"/>
      <c r="F25" s="392"/>
      <c r="G25" s="305"/>
      <c r="H25" s="142"/>
      <c r="I25" s="144"/>
      <c r="J25" s="297"/>
      <c r="K25" s="145"/>
      <c r="L25" s="384"/>
      <c r="M25" s="682"/>
      <c r="N25" s="683"/>
      <c r="O25" s="684"/>
      <c r="P25" s="134"/>
      <c r="Q25" s="149"/>
      <c r="R25" s="149"/>
      <c r="S25" s="145"/>
      <c r="T25" s="385"/>
      <c r="U25" s="149"/>
      <c r="V25" s="149"/>
      <c r="W25" s="145"/>
      <c r="Y25" s="118"/>
      <c r="Z25" s="119"/>
      <c r="AA25" s="118"/>
      <c r="AB25" s="118"/>
    </row>
    <row r="26" spans="2:28" s="104" customFormat="1" ht="15" customHeight="1" x14ac:dyDescent="0.25">
      <c r="B26" s="443" t="s">
        <v>336</v>
      </c>
      <c r="C26" s="388" t="s">
        <v>337</v>
      </c>
      <c r="D26" s="380" t="s">
        <v>233</v>
      </c>
      <c r="E26" s="381">
        <v>2</v>
      </c>
      <c r="F26" s="382">
        <v>221.35</v>
      </c>
      <c r="G26" s="305">
        <f t="shared" ref="G26:G28" si="20">ROUND(E26*F26,2)</f>
        <v>442.7</v>
      </c>
      <c r="H26" s="142"/>
      <c r="I26" s="144">
        <v>2</v>
      </c>
      <c r="J26" s="297">
        <v>442.7</v>
      </c>
      <c r="K26" s="145">
        <v>1</v>
      </c>
      <c r="L26" s="384"/>
      <c r="M26" s="682"/>
      <c r="N26" s="683">
        <f t="shared" ref="N26:N27" si="21">ROUND(M26*$F26,2)</f>
        <v>0</v>
      </c>
      <c r="O26" s="684">
        <f t="shared" ref="O26:O27" si="22">ROUND(N26/$G26,4)</f>
        <v>0</v>
      </c>
      <c r="P26" s="134"/>
      <c r="Q26" s="149">
        <f t="shared" ref="Q26:S27" si="23">+I26+M26</f>
        <v>2</v>
      </c>
      <c r="R26" s="149">
        <f t="shared" si="23"/>
        <v>442.7</v>
      </c>
      <c r="S26" s="145">
        <f t="shared" si="23"/>
        <v>1</v>
      </c>
      <c r="T26" s="385"/>
      <c r="U26" s="149">
        <f t="shared" ref="U26:U27" si="24">+E26-Q26</f>
        <v>0</v>
      </c>
      <c r="V26" s="149">
        <f t="shared" ref="V26:V27" si="25">+G26-R26</f>
        <v>0</v>
      </c>
      <c r="W26" s="145">
        <f t="shared" ref="W26:W27" si="26">1-S26</f>
        <v>0</v>
      </c>
      <c r="Y26" s="118"/>
      <c r="Z26" s="119"/>
      <c r="AA26" s="118"/>
      <c r="AB26" s="118"/>
    </row>
    <row r="27" spans="2:28" s="104" customFormat="1" ht="15" customHeight="1" x14ac:dyDescent="0.25">
      <c r="B27" s="443" t="s">
        <v>338</v>
      </c>
      <c r="C27" s="389" t="s">
        <v>339</v>
      </c>
      <c r="D27" s="380" t="s">
        <v>5</v>
      </c>
      <c r="E27" s="381">
        <v>1</v>
      </c>
      <c r="F27" s="382">
        <v>221.16</v>
      </c>
      <c r="G27" s="305">
        <f t="shared" si="20"/>
        <v>221.16</v>
      </c>
      <c r="H27" s="142"/>
      <c r="I27" s="144">
        <v>1</v>
      </c>
      <c r="J27" s="297">
        <v>221.16</v>
      </c>
      <c r="K27" s="145">
        <v>1</v>
      </c>
      <c r="L27" s="384"/>
      <c r="M27" s="682"/>
      <c r="N27" s="683">
        <f t="shared" si="21"/>
        <v>0</v>
      </c>
      <c r="O27" s="684">
        <f t="shared" si="22"/>
        <v>0</v>
      </c>
      <c r="P27" s="134"/>
      <c r="Q27" s="149">
        <f t="shared" si="23"/>
        <v>1</v>
      </c>
      <c r="R27" s="149">
        <f t="shared" si="23"/>
        <v>221.16</v>
      </c>
      <c r="S27" s="145">
        <f t="shared" si="23"/>
        <v>1</v>
      </c>
      <c r="T27" s="385"/>
      <c r="U27" s="149">
        <f t="shared" si="24"/>
        <v>0</v>
      </c>
      <c r="V27" s="149">
        <f t="shared" si="25"/>
        <v>0</v>
      </c>
      <c r="W27" s="145">
        <f t="shared" si="26"/>
        <v>0</v>
      </c>
      <c r="Y27" s="118"/>
      <c r="Z27" s="119"/>
      <c r="AA27" s="118"/>
      <c r="AB27" s="118"/>
    </row>
    <row r="28" spans="2:28" s="104" customFormat="1" ht="15" customHeight="1" x14ac:dyDescent="0.25">
      <c r="B28" s="441" t="s">
        <v>340</v>
      </c>
      <c r="C28" s="386" t="s">
        <v>341</v>
      </c>
      <c r="D28" s="393"/>
      <c r="E28" s="394"/>
      <c r="F28" s="395"/>
      <c r="G28" s="305">
        <f t="shared" si="20"/>
        <v>0</v>
      </c>
      <c r="H28" s="142"/>
      <c r="I28" s="144"/>
      <c r="J28" s="297"/>
      <c r="K28" s="145"/>
      <c r="L28" s="384"/>
      <c r="M28" s="682"/>
      <c r="N28" s="683"/>
      <c r="O28" s="684"/>
      <c r="P28" s="134"/>
      <c r="Q28" s="149"/>
      <c r="R28" s="149"/>
      <c r="S28" s="145"/>
      <c r="T28" s="385"/>
      <c r="U28" s="149"/>
      <c r="V28" s="149"/>
      <c r="W28" s="145"/>
      <c r="Y28" s="118"/>
      <c r="Z28" s="119"/>
      <c r="AA28" s="118"/>
      <c r="AB28" s="118"/>
    </row>
    <row r="29" spans="2:28" s="104" customFormat="1" ht="15" customHeight="1" x14ac:dyDescent="0.25">
      <c r="B29" s="442" t="s">
        <v>342</v>
      </c>
      <c r="C29" s="387" t="s">
        <v>343</v>
      </c>
      <c r="D29" s="390"/>
      <c r="E29" s="391"/>
      <c r="F29" s="392"/>
      <c r="G29" s="306"/>
      <c r="H29" s="142"/>
      <c r="I29" s="301"/>
      <c r="J29" s="302"/>
      <c r="K29" s="303"/>
      <c r="L29" s="384"/>
      <c r="M29" s="685"/>
      <c r="N29" s="686"/>
      <c r="O29" s="687"/>
      <c r="P29" s="134"/>
      <c r="Q29" s="304"/>
      <c r="R29" s="304"/>
      <c r="S29" s="303"/>
      <c r="T29" s="385"/>
      <c r="U29" s="304"/>
      <c r="V29" s="304"/>
      <c r="W29" s="303"/>
      <c r="Y29" s="118"/>
      <c r="Z29" s="119"/>
      <c r="AA29" s="118"/>
      <c r="AB29" s="118"/>
    </row>
    <row r="30" spans="2:28" s="104" customFormat="1" ht="15" customHeight="1" x14ac:dyDescent="0.25">
      <c r="B30" s="443" t="s">
        <v>344</v>
      </c>
      <c r="C30" s="388" t="s">
        <v>345</v>
      </c>
      <c r="D30" s="380" t="s">
        <v>234</v>
      </c>
      <c r="E30" s="381">
        <v>590.54</v>
      </c>
      <c r="F30" s="382">
        <v>10.47</v>
      </c>
      <c r="G30" s="305">
        <f t="shared" ref="G30:G33" si="27">ROUND(E30*F30,2)</f>
        <v>6182.95</v>
      </c>
      <c r="H30" s="142"/>
      <c r="I30" s="144">
        <v>590.54</v>
      </c>
      <c r="J30" s="297">
        <v>6182.95</v>
      </c>
      <c r="K30" s="145">
        <v>1</v>
      </c>
      <c r="L30" s="384"/>
      <c r="M30" s="682"/>
      <c r="N30" s="683">
        <f t="shared" ref="N30:N32" si="28">ROUND(M30*$F30,2)</f>
        <v>0</v>
      </c>
      <c r="O30" s="684">
        <f t="shared" ref="O30:O32" si="29">ROUND(N30/$G30,4)</f>
        <v>0</v>
      </c>
      <c r="P30" s="134"/>
      <c r="Q30" s="149">
        <f t="shared" ref="Q30:S32" si="30">+I30+M30</f>
        <v>590.54</v>
      </c>
      <c r="R30" s="149">
        <f t="shared" si="30"/>
        <v>6182.95</v>
      </c>
      <c r="S30" s="145">
        <f t="shared" si="30"/>
        <v>1</v>
      </c>
      <c r="T30" s="385"/>
      <c r="U30" s="149">
        <f t="shared" ref="U30:U32" si="31">+E30-Q30</f>
        <v>0</v>
      </c>
      <c r="V30" s="149">
        <f t="shared" ref="V30:V32" si="32">+G30-R30</f>
        <v>0</v>
      </c>
      <c r="W30" s="145">
        <f t="shared" ref="W30:W32" si="33">1-S30</f>
        <v>0</v>
      </c>
      <c r="Y30" s="118"/>
      <c r="Z30" s="119"/>
      <c r="AA30" s="118"/>
      <c r="AB30" s="118"/>
    </row>
    <row r="31" spans="2:28" s="104" customFormat="1" ht="15" customHeight="1" x14ac:dyDescent="0.25">
      <c r="B31" s="443" t="s">
        <v>346</v>
      </c>
      <c r="C31" s="388" t="s">
        <v>347</v>
      </c>
      <c r="D31" s="380" t="s">
        <v>234</v>
      </c>
      <c r="E31" s="381">
        <v>51.64</v>
      </c>
      <c r="F31" s="382">
        <v>19.04</v>
      </c>
      <c r="G31" s="305">
        <f t="shared" si="27"/>
        <v>983.23</v>
      </c>
      <c r="H31" s="142"/>
      <c r="I31" s="301">
        <v>51.64</v>
      </c>
      <c r="J31" s="302">
        <v>983.23</v>
      </c>
      <c r="K31" s="303">
        <v>1</v>
      </c>
      <c r="L31" s="384"/>
      <c r="M31" s="682"/>
      <c r="N31" s="683">
        <f t="shared" si="28"/>
        <v>0</v>
      </c>
      <c r="O31" s="684">
        <f t="shared" si="29"/>
        <v>0</v>
      </c>
      <c r="P31" s="134"/>
      <c r="Q31" s="149">
        <f t="shared" si="30"/>
        <v>51.64</v>
      </c>
      <c r="R31" s="149">
        <f t="shared" si="30"/>
        <v>983.23</v>
      </c>
      <c r="S31" s="145">
        <f t="shared" si="30"/>
        <v>1</v>
      </c>
      <c r="T31" s="385"/>
      <c r="U31" s="149">
        <f t="shared" si="31"/>
        <v>0</v>
      </c>
      <c r="V31" s="149">
        <f t="shared" si="32"/>
        <v>0</v>
      </c>
      <c r="W31" s="145">
        <f t="shared" si="33"/>
        <v>0</v>
      </c>
      <c r="Y31" s="118"/>
      <c r="Z31" s="119"/>
      <c r="AA31" s="118"/>
      <c r="AB31" s="118"/>
    </row>
    <row r="32" spans="2:28" s="104" customFormat="1" ht="15" customHeight="1" x14ac:dyDescent="0.25">
      <c r="B32" s="443" t="s">
        <v>348</v>
      </c>
      <c r="C32" s="389" t="s">
        <v>349</v>
      </c>
      <c r="D32" s="380" t="s">
        <v>234</v>
      </c>
      <c r="E32" s="381">
        <v>738.18</v>
      </c>
      <c r="F32" s="382">
        <v>18.98</v>
      </c>
      <c r="G32" s="305">
        <f t="shared" si="27"/>
        <v>14010.66</v>
      </c>
      <c r="H32" s="142"/>
      <c r="I32" s="301">
        <v>738.18</v>
      </c>
      <c r="J32" s="302">
        <v>14010.66</v>
      </c>
      <c r="K32" s="303">
        <v>1</v>
      </c>
      <c r="L32" s="384"/>
      <c r="M32" s="682"/>
      <c r="N32" s="683">
        <f t="shared" si="28"/>
        <v>0</v>
      </c>
      <c r="O32" s="684">
        <f t="shared" si="29"/>
        <v>0</v>
      </c>
      <c r="P32" s="134"/>
      <c r="Q32" s="149">
        <f t="shared" si="30"/>
        <v>738.18</v>
      </c>
      <c r="R32" s="149">
        <f t="shared" si="30"/>
        <v>14010.66</v>
      </c>
      <c r="S32" s="145">
        <f t="shared" si="30"/>
        <v>1</v>
      </c>
      <c r="T32" s="385"/>
      <c r="U32" s="149">
        <f t="shared" si="31"/>
        <v>0</v>
      </c>
      <c r="V32" s="149">
        <f t="shared" si="32"/>
        <v>0</v>
      </c>
      <c r="W32" s="145">
        <f t="shared" si="33"/>
        <v>0</v>
      </c>
      <c r="Y32" s="118"/>
      <c r="Z32" s="119"/>
      <c r="AA32" s="118"/>
      <c r="AB32" s="118"/>
    </row>
    <row r="33" spans="2:28" s="104" customFormat="1" ht="15" customHeight="1" x14ac:dyDescent="0.25">
      <c r="B33" s="442" t="s">
        <v>350</v>
      </c>
      <c r="C33" s="387" t="s">
        <v>351</v>
      </c>
      <c r="D33" s="390"/>
      <c r="E33" s="391"/>
      <c r="F33" s="392"/>
      <c r="G33" s="305">
        <f t="shared" si="27"/>
        <v>0</v>
      </c>
      <c r="H33" s="142"/>
      <c r="I33" s="144"/>
      <c r="J33" s="297"/>
      <c r="K33" s="145"/>
      <c r="L33" s="384"/>
      <c r="M33" s="682"/>
      <c r="N33" s="683"/>
      <c r="O33" s="684"/>
      <c r="P33" s="134"/>
      <c r="Q33" s="149"/>
      <c r="R33" s="149"/>
      <c r="S33" s="145"/>
      <c r="T33" s="385"/>
      <c r="U33" s="149"/>
      <c r="V33" s="149"/>
      <c r="W33" s="145"/>
      <c r="Y33" s="118"/>
      <c r="Z33" s="119"/>
      <c r="AA33" s="118"/>
      <c r="AB33" s="118"/>
    </row>
    <row r="34" spans="2:28" s="104" customFormat="1" ht="15" customHeight="1" x14ac:dyDescent="0.25">
      <c r="B34" s="443" t="s">
        <v>352</v>
      </c>
      <c r="C34" s="388" t="s">
        <v>353</v>
      </c>
      <c r="D34" s="380" t="s">
        <v>101</v>
      </c>
      <c r="E34" s="381">
        <v>910.14</v>
      </c>
      <c r="F34" s="382">
        <v>31.15</v>
      </c>
      <c r="G34" s="305">
        <f>ROUND(E34*F34,2)</f>
        <v>28350.86</v>
      </c>
      <c r="H34" s="142"/>
      <c r="I34" s="144">
        <v>910.14</v>
      </c>
      <c r="J34" s="297">
        <v>28350.86</v>
      </c>
      <c r="K34" s="145">
        <v>1</v>
      </c>
      <c r="L34" s="384"/>
      <c r="M34" s="682"/>
      <c r="N34" s="683">
        <f>ROUND(M34*$F34,2)</f>
        <v>0</v>
      </c>
      <c r="O34" s="684">
        <f>ROUND(N34/$G34,4)</f>
        <v>0</v>
      </c>
      <c r="P34" s="134"/>
      <c r="Q34" s="149">
        <f>+I34+M34</f>
        <v>910.14</v>
      </c>
      <c r="R34" s="149">
        <f>+J34+N34</f>
        <v>28350.86</v>
      </c>
      <c r="S34" s="145">
        <f>+K34+O34</f>
        <v>1</v>
      </c>
      <c r="T34" s="385"/>
      <c r="U34" s="149">
        <f>+E34-Q34</f>
        <v>0</v>
      </c>
      <c r="V34" s="149">
        <f>+G34-R34</f>
        <v>0</v>
      </c>
      <c r="W34" s="145">
        <f>1-S34</f>
        <v>0</v>
      </c>
      <c r="Y34" s="118"/>
      <c r="Z34" s="119"/>
      <c r="AA34" s="118"/>
      <c r="AB34" s="118"/>
    </row>
    <row r="35" spans="2:28" s="104" customFormat="1" ht="15" customHeight="1" x14ac:dyDescent="0.25">
      <c r="B35" s="442" t="s">
        <v>354</v>
      </c>
      <c r="C35" s="387" t="s">
        <v>355</v>
      </c>
      <c r="D35" s="390"/>
      <c r="E35" s="391"/>
      <c r="F35" s="392"/>
      <c r="G35" s="305">
        <f>ROUND(E35*F35,2)</f>
        <v>0</v>
      </c>
      <c r="H35" s="142"/>
      <c r="I35" s="144"/>
      <c r="J35" s="297"/>
      <c r="K35" s="145"/>
      <c r="L35" s="384"/>
      <c r="M35" s="682"/>
      <c r="N35" s="683"/>
      <c r="O35" s="684"/>
      <c r="P35" s="134"/>
      <c r="Q35" s="149"/>
      <c r="R35" s="149"/>
      <c r="S35" s="145"/>
      <c r="T35" s="385"/>
      <c r="U35" s="149"/>
      <c r="V35" s="149"/>
      <c r="W35" s="145"/>
      <c r="Y35" s="118"/>
      <c r="Z35" s="119"/>
      <c r="AA35" s="118"/>
      <c r="AB35" s="118"/>
    </row>
    <row r="36" spans="2:28" s="104" customFormat="1" ht="15" customHeight="1" x14ac:dyDescent="0.25">
      <c r="B36" s="443" t="s">
        <v>356</v>
      </c>
      <c r="C36" s="388" t="s">
        <v>357</v>
      </c>
      <c r="D36" s="380" t="s">
        <v>101</v>
      </c>
      <c r="E36" s="381">
        <v>910.14</v>
      </c>
      <c r="F36" s="382">
        <v>5.54</v>
      </c>
      <c r="G36" s="305">
        <f>ROUND(E36*F36,2)</f>
        <v>5042.18</v>
      </c>
      <c r="H36" s="142"/>
      <c r="I36" s="301">
        <v>910.14</v>
      </c>
      <c r="J36" s="302">
        <v>5042.18</v>
      </c>
      <c r="K36" s="303">
        <v>1</v>
      </c>
      <c r="L36" s="384"/>
      <c r="M36" s="682"/>
      <c r="N36" s="683">
        <f>ROUND(M36*$F36,2)</f>
        <v>0</v>
      </c>
      <c r="O36" s="684">
        <f>ROUND(N36/$G36,4)</f>
        <v>0</v>
      </c>
      <c r="P36" s="134"/>
      <c r="Q36" s="149">
        <f>+I36+M36</f>
        <v>910.14</v>
      </c>
      <c r="R36" s="149">
        <f>+J36+N36</f>
        <v>5042.18</v>
      </c>
      <c r="S36" s="145">
        <f>+K36+O36</f>
        <v>1</v>
      </c>
      <c r="T36" s="385"/>
      <c r="U36" s="149">
        <f>+E36-Q36</f>
        <v>0</v>
      </c>
      <c r="V36" s="149">
        <f>+G36-R36</f>
        <v>0</v>
      </c>
      <c r="W36" s="145">
        <f>1-S36</f>
        <v>0</v>
      </c>
      <c r="Y36" s="118"/>
      <c r="Z36" s="119"/>
      <c r="AA36" s="118"/>
      <c r="AB36" s="118"/>
    </row>
    <row r="37" spans="2:28" s="104" customFormat="1" ht="15" customHeight="1" x14ac:dyDescent="0.25">
      <c r="B37" s="442" t="s">
        <v>358</v>
      </c>
      <c r="C37" s="387" t="s">
        <v>359</v>
      </c>
      <c r="D37" s="390"/>
      <c r="E37" s="391"/>
      <c r="F37" s="392"/>
      <c r="G37" s="305">
        <f t="shared" ref="G37:G45" si="34">ROUND(E37*F37,2)</f>
        <v>0</v>
      </c>
      <c r="H37" s="142"/>
      <c r="I37" s="144"/>
      <c r="J37" s="297"/>
      <c r="K37" s="145"/>
      <c r="L37" s="384"/>
      <c r="M37" s="682"/>
      <c r="N37" s="683"/>
      <c r="O37" s="684"/>
      <c r="P37" s="134"/>
      <c r="Q37" s="149"/>
      <c r="R37" s="149"/>
      <c r="S37" s="145"/>
      <c r="T37" s="385"/>
      <c r="U37" s="149"/>
      <c r="V37" s="149"/>
      <c r="W37" s="145"/>
      <c r="Y37" s="118"/>
      <c r="Z37" s="119"/>
      <c r="AA37" s="118"/>
      <c r="AB37" s="118"/>
    </row>
    <row r="38" spans="2:28" s="104" customFormat="1" ht="15" customHeight="1" x14ac:dyDescent="0.25">
      <c r="B38" s="443" t="s">
        <v>360</v>
      </c>
      <c r="C38" s="388" t="s">
        <v>361</v>
      </c>
      <c r="D38" s="380" t="s">
        <v>101</v>
      </c>
      <c r="E38" s="381">
        <v>127.29</v>
      </c>
      <c r="F38" s="382">
        <v>63.41</v>
      </c>
      <c r="G38" s="305">
        <f t="shared" si="34"/>
        <v>8071.46</v>
      </c>
      <c r="H38" s="142"/>
      <c r="I38" s="144">
        <v>127.29</v>
      </c>
      <c r="J38" s="297">
        <v>8071.46</v>
      </c>
      <c r="K38" s="145">
        <v>1</v>
      </c>
      <c r="L38" s="384"/>
      <c r="M38" s="682"/>
      <c r="N38" s="683">
        <f t="shared" ref="N38:N45" si="35">ROUND(M38*$F38,2)</f>
        <v>0</v>
      </c>
      <c r="O38" s="684">
        <f t="shared" ref="O38:O45" si="36">ROUND(N38/$G38,4)</f>
        <v>0</v>
      </c>
      <c r="P38" s="134"/>
      <c r="Q38" s="149">
        <f t="shared" ref="Q38:S45" si="37">+I38+M38</f>
        <v>127.29</v>
      </c>
      <c r="R38" s="149">
        <f t="shared" si="37"/>
        <v>8071.46</v>
      </c>
      <c r="S38" s="145">
        <f t="shared" si="37"/>
        <v>1</v>
      </c>
      <c r="T38" s="385"/>
      <c r="U38" s="149">
        <f t="shared" ref="U38:U45" si="38">+E38-Q38</f>
        <v>0</v>
      </c>
      <c r="V38" s="149">
        <f t="shared" ref="V38:V45" si="39">+G38-R38</f>
        <v>0</v>
      </c>
      <c r="W38" s="145">
        <f t="shared" ref="W38:W45" si="40">1-S38</f>
        <v>0</v>
      </c>
      <c r="Y38" s="118"/>
      <c r="Z38" s="119"/>
      <c r="AA38" s="118"/>
      <c r="AB38" s="118"/>
    </row>
    <row r="39" spans="2:28" s="104" customFormat="1" ht="15" customHeight="1" x14ac:dyDescent="0.25">
      <c r="B39" s="443" t="s">
        <v>362</v>
      </c>
      <c r="C39" s="388" t="s">
        <v>363</v>
      </c>
      <c r="D39" s="380" t="s">
        <v>101</v>
      </c>
      <c r="E39" s="381">
        <v>910.14</v>
      </c>
      <c r="F39" s="382">
        <v>119.99</v>
      </c>
      <c r="G39" s="305">
        <f t="shared" si="34"/>
        <v>109207.7</v>
      </c>
      <c r="H39" s="142"/>
      <c r="I39" s="144">
        <v>910.14</v>
      </c>
      <c r="J39" s="297">
        <v>109207.7</v>
      </c>
      <c r="K39" s="145">
        <v>1</v>
      </c>
      <c r="L39" s="384"/>
      <c r="M39" s="682"/>
      <c r="N39" s="683">
        <f t="shared" si="35"/>
        <v>0</v>
      </c>
      <c r="O39" s="684">
        <f t="shared" si="36"/>
        <v>0</v>
      </c>
      <c r="P39" s="134"/>
      <c r="Q39" s="149">
        <f t="shared" si="37"/>
        <v>910.14</v>
      </c>
      <c r="R39" s="149">
        <f t="shared" si="37"/>
        <v>109207.7</v>
      </c>
      <c r="S39" s="145">
        <f t="shared" si="37"/>
        <v>1</v>
      </c>
      <c r="T39" s="385"/>
      <c r="U39" s="149">
        <f t="shared" si="38"/>
        <v>0</v>
      </c>
      <c r="V39" s="149">
        <f t="shared" si="39"/>
        <v>0</v>
      </c>
      <c r="W39" s="145">
        <f t="shared" si="40"/>
        <v>0</v>
      </c>
      <c r="Y39" s="118"/>
      <c r="Z39" s="119"/>
      <c r="AA39" s="118"/>
      <c r="AB39" s="118"/>
    </row>
    <row r="40" spans="2:28" s="104" customFormat="1" ht="15" customHeight="1" x14ac:dyDescent="0.25">
      <c r="B40" s="443" t="s">
        <v>364</v>
      </c>
      <c r="C40" s="388" t="s">
        <v>365</v>
      </c>
      <c r="D40" s="380" t="s">
        <v>101</v>
      </c>
      <c r="E40" s="381">
        <v>910.14</v>
      </c>
      <c r="F40" s="382">
        <v>2.92</v>
      </c>
      <c r="G40" s="305">
        <f t="shared" si="34"/>
        <v>2657.61</v>
      </c>
      <c r="H40" s="142"/>
      <c r="I40" s="144">
        <v>910.14</v>
      </c>
      <c r="J40" s="297">
        <v>2657.61</v>
      </c>
      <c r="K40" s="145">
        <v>1</v>
      </c>
      <c r="L40" s="384"/>
      <c r="M40" s="682"/>
      <c r="N40" s="683">
        <f t="shared" si="35"/>
        <v>0</v>
      </c>
      <c r="O40" s="684">
        <f t="shared" si="36"/>
        <v>0</v>
      </c>
      <c r="P40" s="134"/>
      <c r="Q40" s="149">
        <f t="shared" si="37"/>
        <v>910.14</v>
      </c>
      <c r="R40" s="149">
        <f t="shared" si="37"/>
        <v>2657.61</v>
      </c>
      <c r="S40" s="145">
        <f t="shared" si="37"/>
        <v>1</v>
      </c>
      <c r="T40" s="385"/>
      <c r="U40" s="149">
        <f t="shared" si="38"/>
        <v>0</v>
      </c>
      <c r="V40" s="149">
        <f t="shared" si="39"/>
        <v>0</v>
      </c>
      <c r="W40" s="145">
        <f t="shared" si="40"/>
        <v>0</v>
      </c>
      <c r="Y40" s="118"/>
      <c r="Z40" s="119"/>
      <c r="AA40" s="118"/>
      <c r="AB40" s="118"/>
    </row>
    <row r="41" spans="2:28" s="104" customFormat="1" ht="15" customHeight="1" x14ac:dyDescent="0.25">
      <c r="B41" s="443" t="s">
        <v>366</v>
      </c>
      <c r="C41" s="389" t="s">
        <v>367</v>
      </c>
      <c r="D41" s="380" t="s">
        <v>102</v>
      </c>
      <c r="E41" s="381">
        <v>80.64</v>
      </c>
      <c r="F41" s="382">
        <v>12.14</v>
      </c>
      <c r="G41" s="305">
        <f t="shared" si="34"/>
        <v>978.97</v>
      </c>
      <c r="H41" s="142"/>
      <c r="I41" s="144">
        <v>80.64</v>
      </c>
      <c r="J41" s="297">
        <v>978.97</v>
      </c>
      <c r="K41" s="145">
        <v>1</v>
      </c>
      <c r="L41" s="384"/>
      <c r="M41" s="682"/>
      <c r="N41" s="683">
        <f t="shared" si="35"/>
        <v>0</v>
      </c>
      <c r="O41" s="684">
        <f t="shared" si="36"/>
        <v>0</v>
      </c>
      <c r="P41" s="134"/>
      <c r="Q41" s="149">
        <f t="shared" si="37"/>
        <v>80.64</v>
      </c>
      <c r="R41" s="149">
        <f t="shared" si="37"/>
        <v>978.97</v>
      </c>
      <c r="S41" s="145">
        <f t="shared" si="37"/>
        <v>1</v>
      </c>
      <c r="T41" s="385"/>
      <c r="U41" s="149">
        <f t="shared" si="38"/>
        <v>0</v>
      </c>
      <c r="V41" s="149">
        <f t="shared" si="39"/>
        <v>0</v>
      </c>
      <c r="W41" s="145">
        <f t="shared" si="40"/>
        <v>0</v>
      </c>
      <c r="Y41" s="118"/>
      <c r="Z41" s="119"/>
      <c r="AA41" s="118"/>
      <c r="AB41" s="118"/>
    </row>
    <row r="42" spans="2:28" s="104" customFormat="1" ht="15" customHeight="1" x14ac:dyDescent="0.25">
      <c r="B42" s="443" t="s">
        <v>368</v>
      </c>
      <c r="C42" s="389" t="s">
        <v>369</v>
      </c>
      <c r="D42" s="380" t="s">
        <v>102</v>
      </c>
      <c r="E42" s="381">
        <v>176.4</v>
      </c>
      <c r="F42" s="382">
        <v>42.88</v>
      </c>
      <c r="G42" s="305">
        <f t="shared" si="34"/>
        <v>7564.03</v>
      </c>
      <c r="H42" s="142"/>
      <c r="I42" s="301">
        <v>176.4</v>
      </c>
      <c r="J42" s="302">
        <v>7564.03</v>
      </c>
      <c r="K42" s="303">
        <v>1</v>
      </c>
      <c r="L42" s="384"/>
      <c r="M42" s="682"/>
      <c r="N42" s="683">
        <f t="shared" si="35"/>
        <v>0</v>
      </c>
      <c r="O42" s="684">
        <f t="shared" si="36"/>
        <v>0</v>
      </c>
      <c r="P42" s="134"/>
      <c r="Q42" s="149">
        <f t="shared" si="37"/>
        <v>176.4</v>
      </c>
      <c r="R42" s="149">
        <f t="shared" si="37"/>
        <v>7564.03</v>
      </c>
      <c r="S42" s="145">
        <f t="shared" si="37"/>
        <v>1</v>
      </c>
      <c r="T42" s="385"/>
      <c r="U42" s="149">
        <f t="shared" si="38"/>
        <v>0</v>
      </c>
      <c r="V42" s="149">
        <f t="shared" si="39"/>
        <v>0</v>
      </c>
      <c r="W42" s="145">
        <f t="shared" si="40"/>
        <v>0</v>
      </c>
      <c r="Y42" s="118"/>
      <c r="Z42" s="119"/>
      <c r="AA42" s="118"/>
      <c r="AB42" s="118"/>
    </row>
    <row r="43" spans="2:28" s="104" customFormat="1" ht="15" customHeight="1" x14ac:dyDescent="0.25">
      <c r="B43" s="443" t="s">
        <v>370</v>
      </c>
      <c r="C43" s="388" t="s">
        <v>371</v>
      </c>
      <c r="D43" s="380" t="s">
        <v>145</v>
      </c>
      <c r="E43" s="381">
        <v>360</v>
      </c>
      <c r="F43" s="382">
        <v>5.59</v>
      </c>
      <c r="G43" s="305">
        <f t="shared" si="34"/>
        <v>2012.4</v>
      </c>
      <c r="H43" s="142"/>
      <c r="I43" s="301">
        <v>360</v>
      </c>
      <c r="J43" s="302">
        <v>2012.4</v>
      </c>
      <c r="K43" s="303">
        <v>1</v>
      </c>
      <c r="L43" s="384"/>
      <c r="M43" s="682"/>
      <c r="N43" s="683">
        <f t="shared" si="35"/>
        <v>0</v>
      </c>
      <c r="O43" s="684">
        <f t="shared" si="36"/>
        <v>0</v>
      </c>
      <c r="P43" s="134"/>
      <c r="Q43" s="149">
        <f t="shared" si="37"/>
        <v>360</v>
      </c>
      <c r="R43" s="149">
        <f t="shared" si="37"/>
        <v>2012.4</v>
      </c>
      <c r="S43" s="145">
        <f t="shared" si="37"/>
        <v>1</v>
      </c>
      <c r="T43" s="385"/>
      <c r="U43" s="149">
        <f t="shared" si="38"/>
        <v>0</v>
      </c>
      <c r="V43" s="149">
        <f t="shared" si="39"/>
        <v>0</v>
      </c>
      <c r="W43" s="145">
        <f t="shared" si="40"/>
        <v>0</v>
      </c>
      <c r="Y43" s="118"/>
      <c r="Z43" s="119"/>
      <c r="AA43" s="118"/>
      <c r="AB43" s="118"/>
    </row>
    <row r="44" spans="2:28" s="104" customFormat="1" ht="15" customHeight="1" x14ac:dyDescent="0.25">
      <c r="B44" s="443" t="s">
        <v>372</v>
      </c>
      <c r="C44" s="388" t="s">
        <v>373</v>
      </c>
      <c r="D44" s="380" t="s">
        <v>145</v>
      </c>
      <c r="E44" s="381">
        <v>255</v>
      </c>
      <c r="F44" s="382">
        <v>5.59</v>
      </c>
      <c r="G44" s="305">
        <f t="shared" si="34"/>
        <v>1425.45</v>
      </c>
      <c r="H44" s="142"/>
      <c r="I44" s="144">
        <v>255</v>
      </c>
      <c r="J44" s="297">
        <v>1425.45</v>
      </c>
      <c r="K44" s="145">
        <v>1</v>
      </c>
      <c r="L44" s="384"/>
      <c r="M44" s="682"/>
      <c r="N44" s="683">
        <f t="shared" si="35"/>
        <v>0</v>
      </c>
      <c r="O44" s="684">
        <f t="shared" si="36"/>
        <v>0</v>
      </c>
      <c r="P44" s="134"/>
      <c r="Q44" s="149">
        <f t="shared" si="37"/>
        <v>255</v>
      </c>
      <c r="R44" s="149">
        <f t="shared" si="37"/>
        <v>1425.45</v>
      </c>
      <c r="S44" s="145">
        <f t="shared" si="37"/>
        <v>1</v>
      </c>
      <c r="T44" s="385"/>
      <c r="U44" s="149">
        <f t="shared" si="38"/>
        <v>0</v>
      </c>
      <c r="V44" s="149">
        <f t="shared" si="39"/>
        <v>0</v>
      </c>
      <c r="W44" s="145">
        <f t="shared" si="40"/>
        <v>0</v>
      </c>
      <c r="Y44" s="118"/>
      <c r="Z44" s="119"/>
      <c r="AA44" s="118"/>
      <c r="AB44" s="118"/>
    </row>
    <row r="45" spans="2:28" s="104" customFormat="1" ht="15" customHeight="1" x14ac:dyDescent="0.25">
      <c r="B45" s="443" t="s">
        <v>374</v>
      </c>
      <c r="C45" s="389" t="s">
        <v>375</v>
      </c>
      <c r="D45" s="380" t="s">
        <v>145</v>
      </c>
      <c r="E45" s="381">
        <v>150</v>
      </c>
      <c r="F45" s="382">
        <v>19.22</v>
      </c>
      <c r="G45" s="305">
        <f t="shared" si="34"/>
        <v>2883</v>
      </c>
      <c r="H45" s="142"/>
      <c r="I45" s="301">
        <v>150</v>
      </c>
      <c r="J45" s="302">
        <v>2883</v>
      </c>
      <c r="K45" s="303">
        <v>1</v>
      </c>
      <c r="L45" s="384"/>
      <c r="M45" s="682"/>
      <c r="N45" s="683">
        <f t="shared" si="35"/>
        <v>0</v>
      </c>
      <c r="O45" s="684">
        <f t="shared" si="36"/>
        <v>0</v>
      </c>
      <c r="P45" s="134"/>
      <c r="Q45" s="149">
        <f t="shared" si="37"/>
        <v>150</v>
      </c>
      <c r="R45" s="149">
        <f t="shared" si="37"/>
        <v>2883</v>
      </c>
      <c r="S45" s="145">
        <f t="shared" si="37"/>
        <v>1</v>
      </c>
      <c r="T45" s="385"/>
      <c r="U45" s="149">
        <f t="shared" si="38"/>
        <v>0</v>
      </c>
      <c r="V45" s="149">
        <f t="shared" si="39"/>
        <v>0</v>
      </c>
      <c r="W45" s="145">
        <f t="shared" si="40"/>
        <v>0</v>
      </c>
      <c r="Y45" s="118"/>
      <c r="Z45" s="119"/>
      <c r="AA45" s="118"/>
      <c r="AB45" s="118"/>
    </row>
    <row r="46" spans="2:28" s="104" customFormat="1" ht="15" customHeight="1" x14ac:dyDescent="0.25">
      <c r="B46" s="442" t="s">
        <v>376</v>
      </c>
      <c r="C46" s="387" t="s">
        <v>377</v>
      </c>
      <c r="D46" s="390"/>
      <c r="E46" s="391"/>
      <c r="F46" s="392"/>
      <c r="G46" s="305">
        <f>ROUND(E46*F46,2)</f>
        <v>0</v>
      </c>
      <c r="H46" s="142"/>
      <c r="I46" s="144"/>
      <c r="J46" s="297"/>
      <c r="K46" s="145"/>
      <c r="L46" s="384"/>
      <c r="M46" s="682"/>
      <c r="N46" s="683"/>
      <c r="O46" s="684"/>
      <c r="P46" s="134"/>
      <c r="Q46" s="149"/>
      <c r="R46" s="149"/>
      <c r="S46" s="145"/>
      <c r="T46" s="385"/>
      <c r="U46" s="149"/>
      <c r="V46" s="149"/>
      <c r="W46" s="145"/>
      <c r="Y46" s="118"/>
      <c r="Z46" s="119"/>
      <c r="AA46" s="118"/>
      <c r="AB46" s="118"/>
    </row>
    <row r="47" spans="2:28" s="104" customFormat="1" ht="15" customHeight="1" x14ac:dyDescent="0.25">
      <c r="B47" s="443" t="s">
        <v>378</v>
      </c>
      <c r="C47" s="388" t="s">
        <v>379</v>
      </c>
      <c r="D47" s="380" t="s">
        <v>233</v>
      </c>
      <c r="E47" s="381">
        <v>3</v>
      </c>
      <c r="F47" s="382">
        <v>471.14</v>
      </c>
      <c r="G47" s="305">
        <f>ROUND(E47*F47,2)</f>
        <v>1413.42</v>
      </c>
      <c r="H47" s="142"/>
      <c r="I47" s="301">
        <v>3</v>
      </c>
      <c r="J47" s="302">
        <v>1413.42</v>
      </c>
      <c r="K47" s="303">
        <v>1</v>
      </c>
      <c r="L47" s="384"/>
      <c r="M47" s="682"/>
      <c r="N47" s="683">
        <f>ROUND(M47*$F47,2)</f>
        <v>0</v>
      </c>
      <c r="O47" s="684">
        <f>ROUND(N47/$G47,4)</f>
        <v>0</v>
      </c>
      <c r="P47" s="134"/>
      <c r="Q47" s="149">
        <f>+I47+M47</f>
        <v>3</v>
      </c>
      <c r="R47" s="149">
        <f>+J47+N47</f>
        <v>1413.42</v>
      </c>
      <c r="S47" s="145">
        <f>+K47+O47</f>
        <v>1</v>
      </c>
      <c r="T47" s="385"/>
      <c r="U47" s="149">
        <f>+E47-Q47</f>
        <v>0</v>
      </c>
      <c r="V47" s="149">
        <f>+G47-R47</f>
        <v>0</v>
      </c>
      <c r="W47" s="145">
        <f>1-S47</f>
        <v>0</v>
      </c>
      <c r="Y47" s="118"/>
      <c r="Z47" s="119"/>
      <c r="AA47" s="118"/>
      <c r="AB47" s="118"/>
    </row>
    <row r="48" spans="2:28" s="104" customFormat="1" ht="15" customHeight="1" x14ac:dyDescent="0.25">
      <c r="B48" s="442" t="s">
        <v>380</v>
      </c>
      <c r="C48" s="387" t="s">
        <v>381</v>
      </c>
      <c r="D48" s="390"/>
      <c r="E48" s="391"/>
      <c r="F48" s="392"/>
      <c r="G48" s="305">
        <f t="shared" ref="G48:G52" si="41">ROUND(E48*F48,2)</f>
        <v>0</v>
      </c>
      <c r="H48" s="142"/>
      <c r="I48" s="144"/>
      <c r="J48" s="297"/>
      <c r="K48" s="145"/>
      <c r="L48" s="384"/>
      <c r="M48" s="682"/>
      <c r="N48" s="683"/>
      <c r="O48" s="684"/>
      <c r="P48" s="134"/>
      <c r="Q48" s="149"/>
      <c r="R48" s="149"/>
      <c r="S48" s="145"/>
      <c r="T48" s="385"/>
      <c r="U48" s="149"/>
      <c r="V48" s="149"/>
      <c r="W48" s="145"/>
      <c r="Y48" s="118"/>
      <c r="Z48" s="119"/>
      <c r="AA48" s="118"/>
      <c r="AB48" s="118"/>
    </row>
    <row r="49" spans="2:28" s="104" customFormat="1" ht="15" customHeight="1" x14ac:dyDescent="0.25">
      <c r="B49" s="443" t="s">
        <v>382</v>
      </c>
      <c r="C49" s="388" t="s">
        <v>383</v>
      </c>
      <c r="D49" s="380" t="s">
        <v>101</v>
      </c>
      <c r="E49" s="381">
        <v>50.6</v>
      </c>
      <c r="F49" s="382">
        <v>38.21</v>
      </c>
      <c r="G49" s="305">
        <f t="shared" si="41"/>
        <v>1933.43</v>
      </c>
      <c r="H49" s="142"/>
      <c r="I49" s="144"/>
      <c r="J49" s="297">
        <v>0</v>
      </c>
      <c r="K49" s="145">
        <v>0</v>
      </c>
      <c r="L49" s="384"/>
      <c r="M49" s="682"/>
      <c r="N49" s="683">
        <f t="shared" ref="N49:N51" si="42">ROUND(M49*$F49,2)</f>
        <v>0</v>
      </c>
      <c r="O49" s="684">
        <f t="shared" ref="O49:O51" si="43">ROUND(N49/$G49,4)</f>
        <v>0</v>
      </c>
      <c r="P49" s="134"/>
      <c r="Q49" s="149">
        <f t="shared" ref="Q49:S51" si="44">+I49+M49</f>
        <v>0</v>
      </c>
      <c r="R49" s="149">
        <f t="shared" si="44"/>
        <v>0</v>
      </c>
      <c r="S49" s="145">
        <f t="shared" si="44"/>
        <v>0</v>
      </c>
      <c r="T49" s="385"/>
      <c r="U49" s="149">
        <f t="shared" ref="U49:U51" si="45">+E49-Q49</f>
        <v>50.6</v>
      </c>
      <c r="V49" s="149">
        <f t="shared" ref="V49:V51" si="46">+G49-R49</f>
        <v>1933.43</v>
      </c>
      <c r="W49" s="145">
        <f t="shared" ref="W49:W51" si="47">1-S49</f>
        <v>1</v>
      </c>
      <c r="Y49" s="118"/>
      <c r="Z49" s="119"/>
      <c r="AA49" s="118"/>
      <c r="AB49" s="118"/>
    </row>
    <row r="50" spans="2:28" s="104" customFormat="1" ht="15" customHeight="1" x14ac:dyDescent="0.25">
      <c r="B50" s="443" t="s">
        <v>384</v>
      </c>
      <c r="C50" s="388" t="s">
        <v>385</v>
      </c>
      <c r="D50" s="380" t="s">
        <v>145</v>
      </c>
      <c r="E50" s="381">
        <v>170</v>
      </c>
      <c r="F50" s="382">
        <v>10.43</v>
      </c>
      <c r="G50" s="305">
        <f t="shared" si="41"/>
        <v>1773.1</v>
      </c>
      <c r="H50" s="142"/>
      <c r="I50" s="144"/>
      <c r="J50" s="297">
        <v>0</v>
      </c>
      <c r="K50" s="145">
        <v>0</v>
      </c>
      <c r="L50" s="384"/>
      <c r="M50" s="682"/>
      <c r="N50" s="683">
        <f t="shared" si="42"/>
        <v>0</v>
      </c>
      <c r="O50" s="684">
        <f t="shared" si="43"/>
        <v>0</v>
      </c>
      <c r="P50" s="134"/>
      <c r="Q50" s="149">
        <f t="shared" si="44"/>
        <v>0</v>
      </c>
      <c r="R50" s="149">
        <f t="shared" si="44"/>
        <v>0</v>
      </c>
      <c r="S50" s="145">
        <f t="shared" si="44"/>
        <v>0</v>
      </c>
      <c r="T50" s="385"/>
      <c r="U50" s="149">
        <f t="shared" si="45"/>
        <v>170</v>
      </c>
      <c r="V50" s="149">
        <f t="shared" si="46"/>
        <v>1773.1</v>
      </c>
      <c r="W50" s="145">
        <f t="shared" si="47"/>
        <v>1</v>
      </c>
      <c r="Y50" s="118"/>
      <c r="Z50" s="119"/>
      <c r="AA50" s="118"/>
      <c r="AB50" s="118"/>
    </row>
    <row r="51" spans="2:28" s="104" customFormat="1" ht="15" customHeight="1" x14ac:dyDescent="0.25">
      <c r="B51" s="443" t="s">
        <v>386</v>
      </c>
      <c r="C51" s="388" t="s">
        <v>387</v>
      </c>
      <c r="D51" s="380" t="s">
        <v>233</v>
      </c>
      <c r="E51" s="381">
        <v>4</v>
      </c>
      <c r="F51" s="382">
        <v>361.47</v>
      </c>
      <c r="G51" s="305">
        <f t="shared" si="41"/>
        <v>1445.88</v>
      </c>
      <c r="H51" s="142"/>
      <c r="I51" s="144"/>
      <c r="J51" s="297">
        <v>0</v>
      </c>
      <c r="K51" s="145">
        <v>0</v>
      </c>
      <c r="L51" s="384"/>
      <c r="M51" s="682"/>
      <c r="N51" s="683">
        <f t="shared" si="42"/>
        <v>0</v>
      </c>
      <c r="O51" s="684">
        <f t="shared" si="43"/>
        <v>0</v>
      </c>
      <c r="P51" s="134"/>
      <c r="Q51" s="149">
        <f t="shared" si="44"/>
        <v>0</v>
      </c>
      <c r="R51" s="149">
        <f t="shared" si="44"/>
        <v>0</v>
      </c>
      <c r="S51" s="145">
        <f t="shared" si="44"/>
        <v>0</v>
      </c>
      <c r="T51" s="385"/>
      <c r="U51" s="149">
        <f t="shared" si="45"/>
        <v>4</v>
      </c>
      <c r="V51" s="149">
        <f t="shared" si="46"/>
        <v>1445.88</v>
      </c>
      <c r="W51" s="145">
        <f t="shared" si="47"/>
        <v>1</v>
      </c>
      <c r="Y51" s="118"/>
      <c r="Z51" s="119"/>
      <c r="AA51" s="118"/>
      <c r="AB51" s="118"/>
    </row>
    <row r="52" spans="2:28" s="104" customFormat="1" ht="15" customHeight="1" x14ac:dyDescent="0.25">
      <c r="B52" s="441" t="s">
        <v>388</v>
      </c>
      <c r="C52" s="386" t="s">
        <v>389</v>
      </c>
      <c r="D52" s="393"/>
      <c r="E52" s="394"/>
      <c r="F52" s="395"/>
      <c r="G52" s="305">
        <f t="shared" si="41"/>
        <v>0</v>
      </c>
      <c r="H52" s="142"/>
      <c r="I52" s="144"/>
      <c r="J52" s="297"/>
      <c r="K52" s="145"/>
      <c r="L52" s="384"/>
      <c r="M52" s="682"/>
      <c r="N52" s="683"/>
      <c r="O52" s="684"/>
      <c r="P52" s="134"/>
      <c r="Q52" s="149"/>
      <c r="R52" s="149"/>
      <c r="S52" s="145"/>
      <c r="T52" s="385"/>
      <c r="U52" s="149"/>
      <c r="V52" s="149"/>
      <c r="W52" s="145"/>
      <c r="Y52" s="118"/>
      <c r="Z52" s="119"/>
      <c r="AA52" s="118"/>
      <c r="AB52" s="118"/>
    </row>
    <row r="53" spans="2:28" s="104" customFormat="1" ht="15" customHeight="1" x14ac:dyDescent="0.25">
      <c r="B53" s="442" t="s">
        <v>390</v>
      </c>
      <c r="C53" s="387" t="s">
        <v>343</v>
      </c>
      <c r="D53" s="390"/>
      <c r="E53" s="391"/>
      <c r="F53" s="392"/>
      <c r="G53" s="306"/>
      <c r="H53" s="142"/>
      <c r="I53" s="301"/>
      <c r="J53" s="302"/>
      <c r="K53" s="303"/>
      <c r="L53" s="384"/>
      <c r="M53" s="685"/>
      <c r="N53" s="686"/>
      <c r="O53" s="687"/>
      <c r="P53" s="134"/>
      <c r="Q53" s="304"/>
      <c r="R53" s="304"/>
      <c r="S53" s="303"/>
      <c r="T53" s="385"/>
      <c r="U53" s="304"/>
      <c r="V53" s="304"/>
      <c r="W53" s="303"/>
      <c r="Y53" s="118"/>
      <c r="Z53" s="119"/>
      <c r="AA53" s="118"/>
      <c r="AB53" s="118"/>
    </row>
    <row r="54" spans="2:28" s="104" customFormat="1" ht="15" customHeight="1" x14ac:dyDescent="0.25">
      <c r="B54" s="443" t="s">
        <v>391</v>
      </c>
      <c r="C54" s="388" t="s">
        <v>392</v>
      </c>
      <c r="D54" s="380" t="s">
        <v>234</v>
      </c>
      <c r="E54" s="381">
        <v>56.3</v>
      </c>
      <c r="F54" s="382">
        <v>22.11</v>
      </c>
      <c r="G54" s="305">
        <f t="shared" ref="G54:G58" si="48">ROUND(E54*F54,2)</f>
        <v>1244.79</v>
      </c>
      <c r="H54" s="142"/>
      <c r="I54" s="144">
        <v>56.3</v>
      </c>
      <c r="J54" s="297">
        <v>1244.79</v>
      </c>
      <c r="K54" s="145">
        <v>1</v>
      </c>
      <c r="L54" s="384"/>
      <c r="M54" s="682"/>
      <c r="N54" s="683">
        <f t="shared" ref="N54:N58" si="49">ROUND(M54*$F54,2)</f>
        <v>0</v>
      </c>
      <c r="O54" s="684">
        <f t="shared" ref="O54:O58" si="50">ROUND(N54/$G54,4)</f>
        <v>0</v>
      </c>
      <c r="P54" s="134"/>
      <c r="Q54" s="149">
        <f t="shared" ref="Q54:S58" si="51">+I54+M54</f>
        <v>56.3</v>
      </c>
      <c r="R54" s="149">
        <f t="shared" si="51"/>
        <v>1244.79</v>
      </c>
      <c r="S54" s="145">
        <f t="shared" si="51"/>
        <v>1</v>
      </c>
      <c r="T54" s="385"/>
      <c r="U54" s="149">
        <f t="shared" ref="U54:U58" si="52">+E54-Q54</f>
        <v>0</v>
      </c>
      <c r="V54" s="149">
        <f t="shared" ref="V54:V58" si="53">+G54-R54</f>
        <v>0</v>
      </c>
      <c r="W54" s="145">
        <f t="shared" ref="W54:W58" si="54">1-S54</f>
        <v>0</v>
      </c>
      <c r="Y54" s="118"/>
      <c r="Z54" s="119"/>
      <c r="AA54" s="118"/>
      <c r="AB54" s="118"/>
    </row>
    <row r="55" spans="2:28" s="104" customFormat="1" ht="15" customHeight="1" x14ac:dyDescent="0.25">
      <c r="B55" s="443" t="s">
        <v>393</v>
      </c>
      <c r="C55" s="388" t="s">
        <v>394</v>
      </c>
      <c r="D55" s="396" t="s">
        <v>234</v>
      </c>
      <c r="E55" s="397">
        <v>12</v>
      </c>
      <c r="F55" s="398">
        <v>42.31</v>
      </c>
      <c r="G55" s="305">
        <f t="shared" si="48"/>
        <v>507.72</v>
      </c>
      <c r="H55" s="142"/>
      <c r="I55" s="144">
        <v>12</v>
      </c>
      <c r="J55" s="297">
        <v>507.72</v>
      </c>
      <c r="K55" s="145">
        <v>1</v>
      </c>
      <c r="L55" s="384"/>
      <c r="M55" s="682"/>
      <c r="N55" s="683">
        <f t="shared" si="49"/>
        <v>0</v>
      </c>
      <c r="O55" s="684">
        <f t="shared" si="50"/>
        <v>0</v>
      </c>
      <c r="P55" s="134"/>
      <c r="Q55" s="149">
        <f t="shared" si="51"/>
        <v>12</v>
      </c>
      <c r="R55" s="149">
        <f t="shared" si="51"/>
        <v>507.72</v>
      </c>
      <c r="S55" s="145">
        <f t="shared" si="51"/>
        <v>1</v>
      </c>
      <c r="T55" s="385"/>
      <c r="U55" s="149">
        <f t="shared" si="52"/>
        <v>0</v>
      </c>
      <c r="V55" s="149">
        <f t="shared" si="53"/>
        <v>0</v>
      </c>
      <c r="W55" s="145">
        <f t="shared" si="54"/>
        <v>0</v>
      </c>
      <c r="Y55" s="118"/>
      <c r="Z55" s="119"/>
      <c r="AA55" s="118"/>
      <c r="AB55" s="118"/>
    </row>
    <row r="56" spans="2:28" s="104" customFormat="1" ht="15" customHeight="1" x14ac:dyDescent="0.25">
      <c r="B56" s="443" t="s">
        <v>395</v>
      </c>
      <c r="C56" s="389" t="s">
        <v>349</v>
      </c>
      <c r="D56" s="380" t="s">
        <v>234</v>
      </c>
      <c r="E56" s="381">
        <v>55.38</v>
      </c>
      <c r="F56" s="382">
        <v>18.98</v>
      </c>
      <c r="G56" s="305">
        <f t="shared" si="48"/>
        <v>1051.1099999999999</v>
      </c>
      <c r="H56" s="142"/>
      <c r="I56" s="144">
        <v>55.38</v>
      </c>
      <c r="J56" s="297">
        <v>1051.1099999999999</v>
      </c>
      <c r="K56" s="145">
        <v>1</v>
      </c>
      <c r="L56" s="384"/>
      <c r="M56" s="682"/>
      <c r="N56" s="683">
        <f t="shared" si="49"/>
        <v>0</v>
      </c>
      <c r="O56" s="684">
        <f t="shared" si="50"/>
        <v>0</v>
      </c>
      <c r="P56" s="134"/>
      <c r="Q56" s="149">
        <f t="shared" si="51"/>
        <v>55.38</v>
      </c>
      <c r="R56" s="149">
        <f t="shared" si="51"/>
        <v>1051.1099999999999</v>
      </c>
      <c r="S56" s="145">
        <f t="shared" si="51"/>
        <v>1</v>
      </c>
      <c r="T56" s="385"/>
      <c r="U56" s="149">
        <f t="shared" si="52"/>
        <v>0</v>
      </c>
      <c r="V56" s="149">
        <f t="shared" si="53"/>
        <v>0</v>
      </c>
      <c r="W56" s="145">
        <f t="shared" si="54"/>
        <v>0</v>
      </c>
      <c r="Y56" s="118"/>
      <c r="Z56" s="119"/>
      <c r="AA56" s="118"/>
      <c r="AB56" s="118"/>
    </row>
    <row r="57" spans="2:28" s="104" customFormat="1" ht="15" customHeight="1" x14ac:dyDescent="0.25">
      <c r="B57" s="443" t="s">
        <v>396</v>
      </c>
      <c r="C57" s="388" t="s">
        <v>397</v>
      </c>
      <c r="D57" s="380" t="s">
        <v>101</v>
      </c>
      <c r="E57" s="381">
        <v>547.38</v>
      </c>
      <c r="F57" s="382">
        <v>4.25</v>
      </c>
      <c r="G57" s="305">
        <f t="shared" si="48"/>
        <v>2326.37</v>
      </c>
      <c r="H57" s="142"/>
      <c r="I57" s="301">
        <v>547.38</v>
      </c>
      <c r="J57" s="302">
        <v>2326.37</v>
      </c>
      <c r="K57" s="303">
        <v>1</v>
      </c>
      <c r="L57" s="384"/>
      <c r="M57" s="682"/>
      <c r="N57" s="683">
        <f t="shared" si="49"/>
        <v>0</v>
      </c>
      <c r="O57" s="684">
        <f t="shared" si="50"/>
        <v>0</v>
      </c>
      <c r="P57" s="134"/>
      <c r="Q57" s="149">
        <f t="shared" si="51"/>
        <v>547.38</v>
      </c>
      <c r="R57" s="149">
        <f t="shared" si="51"/>
        <v>2326.37</v>
      </c>
      <c r="S57" s="145">
        <f t="shared" si="51"/>
        <v>1</v>
      </c>
      <c r="T57" s="385"/>
      <c r="U57" s="149">
        <f t="shared" si="52"/>
        <v>0</v>
      </c>
      <c r="V57" s="149">
        <f t="shared" si="53"/>
        <v>0</v>
      </c>
      <c r="W57" s="145">
        <f t="shared" si="54"/>
        <v>0</v>
      </c>
      <c r="Y57" s="118"/>
      <c r="Z57" s="119"/>
      <c r="AA57" s="118"/>
      <c r="AB57" s="118"/>
    </row>
    <row r="58" spans="2:28" s="104" customFormat="1" ht="15" customHeight="1" x14ac:dyDescent="0.25">
      <c r="B58" s="443" t="s">
        <v>398</v>
      </c>
      <c r="C58" s="389" t="s">
        <v>399</v>
      </c>
      <c r="D58" s="380" t="s">
        <v>101</v>
      </c>
      <c r="E58" s="381">
        <v>547.38</v>
      </c>
      <c r="F58" s="382">
        <v>16.02</v>
      </c>
      <c r="G58" s="305">
        <f t="shared" si="48"/>
        <v>8769.0300000000007</v>
      </c>
      <c r="H58" s="142"/>
      <c r="I58" s="144">
        <v>547.38</v>
      </c>
      <c r="J58" s="297">
        <v>8769.0300000000007</v>
      </c>
      <c r="K58" s="145">
        <v>1</v>
      </c>
      <c r="L58" s="384"/>
      <c r="M58" s="682"/>
      <c r="N58" s="683">
        <f t="shared" si="49"/>
        <v>0</v>
      </c>
      <c r="O58" s="684">
        <f t="shared" si="50"/>
        <v>0</v>
      </c>
      <c r="P58" s="134"/>
      <c r="Q58" s="149">
        <f t="shared" si="51"/>
        <v>547.38</v>
      </c>
      <c r="R58" s="149">
        <f t="shared" si="51"/>
        <v>8769.0300000000007</v>
      </c>
      <c r="S58" s="145">
        <f t="shared" si="51"/>
        <v>1</v>
      </c>
      <c r="T58" s="385"/>
      <c r="U58" s="149">
        <f t="shared" si="52"/>
        <v>0</v>
      </c>
      <c r="V58" s="149">
        <f t="shared" si="53"/>
        <v>0</v>
      </c>
      <c r="W58" s="145">
        <f t="shared" si="54"/>
        <v>0</v>
      </c>
      <c r="Y58" s="118"/>
      <c r="Z58" s="119"/>
      <c r="AA58" s="118"/>
      <c r="AB58" s="118"/>
    </row>
    <row r="59" spans="2:28" s="104" customFormat="1" ht="15" customHeight="1" x14ac:dyDescent="0.25">
      <c r="B59" s="442" t="s">
        <v>400</v>
      </c>
      <c r="C59" s="387" t="s">
        <v>401</v>
      </c>
      <c r="D59" s="390"/>
      <c r="E59" s="391"/>
      <c r="F59" s="392"/>
      <c r="G59" s="307">
        <f>ROUND(E59*F59,2)</f>
        <v>0</v>
      </c>
      <c r="H59" s="142"/>
      <c r="I59" s="144"/>
      <c r="J59" s="297"/>
      <c r="K59" s="145"/>
      <c r="L59" s="384"/>
      <c r="M59" s="682"/>
      <c r="N59" s="683"/>
      <c r="O59" s="684"/>
      <c r="P59" s="134"/>
      <c r="Q59" s="149"/>
      <c r="R59" s="149"/>
      <c r="S59" s="145"/>
      <c r="T59" s="385"/>
      <c r="U59" s="149"/>
      <c r="V59" s="149"/>
      <c r="W59" s="145"/>
      <c r="Y59" s="118"/>
      <c r="Z59" s="119"/>
      <c r="AA59" s="118"/>
      <c r="AB59" s="118"/>
    </row>
    <row r="60" spans="2:28" s="104" customFormat="1" ht="15" customHeight="1" x14ac:dyDescent="0.25">
      <c r="B60" s="443" t="s">
        <v>402</v>
      </c>
      <c r="C60" s="388" t="s">
        <v>403</v>
      </c>
      <c r="D60" s="380" t="s">
        <v>101</v>
      </c>
      <c r="E60" s="381">
        <v>55.28</v>
      </c>
      <c r="F60" s="382">
        <v>72.37</v>
      </c>
      <c r="G60" s="305">
        <f t="shared" ref="G60:G69" si="55">ROUND(E60*F60,2)</f>
        <v>4000.61</v>
      </c>
      <c r="H60" s="142"/>
      <c r="I60" s="301"/>
      <c r="J60" s="302">
        <v>0</v>
      </c>
      <c r="K60" s="303">
        <v>0</v>
      </c>
      <c r="L60" s="384"/>
      <c r="M60" s="682">
        <f>+E60</f>
        <v>55.28</v>
      </c>
      <c r="N60" s="683">
        <f t="shared" ref="N60:N64" si="56">ROUND(M60*$F60,2)</f>
        <v>4000.61</v>
      </c>
      <c r="O60" s="684">
        <f t="shared" ref="O60:O64" si="57">ROUND(N60/$G60,4)</f>
        <v>1</v>
      </c>
      <c r="P60" s="134"/>
      <c r="Q60" s="149">
        <f t="shared" ref="Q60:S64" si="58">+I60+M60</f>
        <v>55.28</v>
      </c>
      <c r="R60" s="149">
        <f t="shared" si="58"/>
        <v>4000.61</v>
      </c>
      <c r="S60" s="145">
        <f t="shared" si="58"/>
        <v>1</v>
      </c>
      <c r="T60" s="385"/>
      <c r="U60" s="149">
        <f t="shared" ref="U60:U64" si="59">+E60-Q60</f>
        <v>0</v>
      </c>
      <c r="V60" s="149">
        <f t="shared" ref="V60:V64" si="60">+G60-R60</f>
        <v>0</v>
      </c>
      <c r="W60" s="145">
        <f t="shared" ref="W60:W64" si="61">1-S60</f>
        <v>0</v>
      </c>
      <c r="Y60" s="118"/>
      <c r="Z60" s="119"/>
      <c r="AA60" s="118"/>
      <c r="AB60" s="118"/>
    </row>
    <row r="61" spans="2:28" s="104" customFormat="1" ht="15" customHeight="1" x14ac:dyDescent="0.25">
      <c r="B61" s="443" t="s">
        <v>404</v>
      </c>
      <c r="C61" s="389" t="s">
        <v>405</v>
      </c>
      <c r="D61" s="380" t="s">
        <v>101</v>
      </c>
      <c r="E61" s="381">
        <v>547.38</v>
      </c>
      <c r="F61" s="382">
        <v>49.11</v>
      </c>
      <c r="G61" s="305">
        <f t="shared" si="55"/>
        <v>26881.83</v>
      </c>
      <c r="H61" s="142"/>
      <c r="I61" s="144"/>
      <c r="J61" s="297">
        <v>0</v>
      </c>
      <c r="K61" s="145">
        <v>0</v>
      </c>
      <c r="L61" s="384"/>
      <c r="M61" s="682">
        <f t="shared" ref="M61:M64" si="62">+E61</f>
        <v>547.38</v>
      </c>
      <c r="N61" s="683">
        <f t="shared" si="56"/>
        <v>26881.83</v>
      </c>
      <c r="O61" s="684">
        <f t="shared" si="57"/>
        <v>1</v>
      </c>
      <c r="P61" s="134"/>
      <c r="Q61" s="149">
        <f t="shared" si="58"/>
        <v>547.38</v>
      </c>
      <c r="R61" s="149">
        <f t="shared" si="58"/>
        <v>26881.83</v>
      </c>
      <c r="S61" s="145">
        <f t="shared" si="58"/>
        <v>1</v>
      </c>
      <c r="T61" s="385"/>
      <c r="U61" s="149">
        <f t="shared" si="59"/>
        <v>0</v>
      </c>
      <c r="V61" s="149">
        <f t="shared" si="60"/>
        <v>0</v>
      </c>
      <c r="W61" s="145">
        <f t="shared" si="61"/>
        <v>0</v>
      </c>
      <c r="Y61" s="118"/>
      <c r="Z61" s="119"/>
      <c r="AA61" s="118"/>
      <c r="AB61" s="118"/>
    </row>
    <row r="62" spans="2:28" s="104" customFormat="1" ht="15" customHeight="1" x14ac:dyDescent="0.25">
      <c r="B62" s="443" t="s">
        <v>406</v>
      </c>
      <c r="C62" s="388" t="s">
        <v>407</v>
      </c>
      <c r="D62" s="380" t="s">
        <v>145</v>
      </c>
      <c r="E62" s="381">
        <v>404</v>
      </c>
      <c r="F62" s="382">
        <v>16.32</v>
      </c>
      <c r="G62" s="305">
        <f t="shared" si="55"/>
        <v>6593.28</v>
      </c>
      <c r="H62" s="142"/>
      <c r="I62" s="301"/>
      <c r="J62" s="302">
        <v>0</v>
      </c>
      <c r="K62" s="303">
        <v>0</v>
      </c>
      <c r="L62" s="384"/>
      <c r="M62" s="682">
        <f t="shared" si="62"/>
        <v>404</v>
      </c>
      <c r="N62" s="683">
        <f t="shared" si="56"/>
        <v>6593.28</v>
      </c>
      <c r="O62" s="684">
        <f t="shared" si="57"/>
        <v>1</v>
      </c>
      <c r="P62" s="134"/>
      <c r="Q62" s="149">
        <f t="shared" si="58"/>
        <v>404</v>
      </c>
      <c r="R62" s="149">
        <f t="shared" si="58"/>
        <v>6593.28</v>
      </c>
      <c r="S62" s="145">
        <f t="shared" si="58"/>
        <v>1</v>
      </c>
      <c r="T62" s="385"/>
      <c r="U62" s="149">
        <f t="shared" si="59"/>
        <v>0</v>
      </c>
      <c r="V62" s="149">
        <f t="shared" si="60"/>
        <v>0</v>
      </c>
      <c r="W62" s="145">
        <f t="shared" si="61"/>
        <v>0</v>
      </c>
      <c r="Y62" s="118"/>
      <c r="Z62" s="119"/>
      <c r="AA62" s="118"/>
      <c r="AB62" s="118"/>
    </row>
    <row r="63" spans="2:28" s="104" customFormat="1" ht="15" customHeight="1" x14ac:dyDescent="0.25">
      <c r="B63" s="443" t="s">
        <v>408</v>
      </c>
      <c r="C63" s="388" t="s">
        <v>409</v>
      </c>
      <c r="D63" s="380"/>
      <c r="E63" s="381">
        <v>547.38</v>
      </c>
      <c r="F63" s="382">
        <v>2.92</v>
      </c>
      <c r="G63" s="305">
        <f t="shared" si="55"/>
        <v>1598.35</v>
      </c>
      <c r="H63" s="142"/>
      <c r="I63" s="144"/>
      <c r="J63" s="297">
        <v>0</v>
      </c>
      <c r="K63" s="145">
        <v>0</v>
      </c>
      <c r="L63" s="384"/>
      <c r="M63" s="682">
        <f t="shared" si="62"/>
        <v>547.38</v>
      </c>
      <c r="N63" s="683">
        <f t="shared" si="56"/>
        <v>1598.35</v>
      </c>
      <c r="O63" s="684">
        <f t="shared" si="57"/>
        <v>1</v>
      </c>
      <c r="P63" s="134"/>
      <c r="Q63" s="149">
        <f t="shared" si="58"/>
        <v>547.38</v>
      </c>
      <c r="R63" s="149">
        <f t="shared" si="58"/>
        <v>1598.35</v>
      </c>
      <c r="S63" s="145">
        <f t="shared" si="58"/>
        <v>1</v>
      </c>
      <c r="T63" s="385"/>
      <c r="U63" s="149">
        <f t="shared" si="59"/>
        <v>0</v>
      </c>
      <c r="V63" s="149">
        <f t="shared" si="60"/>
        <v>0</v>
      </c>
      <c r="W63" s="145">
        <f t="shared" si="61"/>
        <v>0</v>
      </c>
      <c r="Y63" s="118"/>
      <c r="Z63" s="119"/>
      <c r="AA63" s="118"/>
      <c r="AB63" s="118"/>
    </row>
    <row r="64" spans="2:28" s="104" customFormat="1" ht="15" customHeight="1" x14ac:dyDescent="0.25">
      <c r="B64" s="443" t="s">
        <v>410</v>
      </c>
      <c r="C64" s="388" t="s">
        <v>411</v>
      </c>
      <c r="D64" s="380" t="s">
        <v>145</v>
      </c>
      <c r="E64" s="381">
        <v>158.4</v>
      </c>
      <c r="F64" s="382">
        <v>4.4800000000000004</v>
      </c>
      <c r="G64" s="305">
        <f t="shared" si="55"/>
        <v>709.63</v>
      </c>
      <c r="H64" s="142"/>
      <c r="I64" s="301"/>
      <c r="J64" s="302">
        <v>0</v>
      </c>
      <c r="K64" s="303">
        <v>0</v>
      </c>
      <c r="L64" s="384"/>
      <c r="M64" s="682">
        <f t="shared" si="62"/>
        <v>158.4</v>
      </c>
      <c r="N64" s="683">
        <f t="shared" si="56"/>
        <v>709.63</v>
      </c>
      <c r="O64" s="684">
        <f t="shared" si="57"/>
        <v>1</v>
      </c>
      <c r="P64" s="134"/>
      <c r="Q64" s="149">
        <f t="shared" si="58"/>
        <v>158.4</v>
      </c>
      <c r="R64" s="149">
        <f t="shared" si="58"/>
        <v>709.63</v>
      </c>
      <c r="S64" s="145">
        <f t="shared" si="58"/>
        <v>1</v>
      </c>
      <c r="T64" s="385"/>
      <c r="U64" s="149">
        <f t="shared" si="59"/>
        <v>0</v>
      </c>
      <c r="V64" s="149">
        <f t="shared" si="60"/>
        <v>0</v>
      </c>
      <c r="W64" s="145">
        <f t="shared" si="61"/>
        <v>0</v>
      </c>
      <c r="Y64" s="118"/>
      <c r="Z64" s="119"/>
      <c r="AA64" s="118"/>
      <c r="AB64" s="118"/>
    </row>
    <row r="65" spans="2:28" s="104" customFormat="1" ht="15" customHeight="1" x14ac:dyDescent="0.25">
      <c r="B65" s="442" t="s">
        <v>412</v>
      </c>
      <c r="C65" s="387" t="s">
        <v>413</v>
      </c>
      <c r="D65" s="390"/>
      <c r="E65" s="391"/>
      <c r="F65" s="392"/>
      <c r="G65" s="305">
        <f t="shared" si="55"/>
        <v>0</v>
      </c>
      <c r="H65" s="142"/>
      <c r="I65" s="144"/>
      <c r="J65" s="297"/>
      <c r="K65" s="145"/>
      <c r="L65" s="384"/>
      <c r="M65" s="682"/>
      <c r="N65" s="683"/>
      <c r="O65" s="684"/>
      <c r="P65" s="134"/>
      <c r="Q65" s="149"/>
      <c r="R65" s="149"/>
      <c r="S65" s="145"/>
      <c r="T65" s="385"/>
      <c r="U65" s="149"/>
      <c r="V65" s="149"/>
      <c r="W65" s="145"/>
      <c r="Y65" s="118"/>
      <c r="Z65" s="119"/>
      <c r="AA65" s="118"/>
      <c r="AB65" s="118"/>
    </row>
    <row r="66" spans="2:28" s="104" customFormat="1" ht="15" customHeight="1" x14ac:dyDescent="0.25">
      <c r="B66" s="443" t="s">
        <v>414</v>
      </c>
      <c r="C66" s="388" t="s">
        <v>415</v>
      </c>
      <c r="D66" s="380" t="s">
        <v>101</v>
      </c>
      <c r="E66" s="381">
        <v>16.25</v>
      </c>
      <c r="F66" s="382">
        <v>46.94</v>
      </c>
      <c r="G66" s="305">
        <f t="shared" si="55"/>
        <v>762.78</v>
      </c>
      <c r="H66" s="142"/>
      <c r="I66" s="144"/>
      <c r="J66" s="297">
        <v>0</v>
      </c>
      <c r="K66" s="145">
        <v>0</v>
      </c>
      <c r="L66" s="384"/>
      <c r="M66" s="682">
        <f>+E66</f>
        <v>16.25</v>
      </c>
      <c r="N66" s="683">
        <f t="shared" ref="N66:N69" si="63">ROUND(M66*$F66,2)</f>
        <v>762.78</v>
      </c>
      <c r="O66" s="684">
        <f t="shared" ref="O66:O69" si="64">ROUND(N66/$G66,4)</f>
        <v>1</v>
      </c>
      <c r="P66" s="134"/>
      <c r="Q66" s="149">
        <f t="shared" ref="Q66:S69" si="65">+I66+M66</f>
        <v>16.25</v>
      </c>
      <c r="R66" s="149">
        <f t="shared" si="65"/>
        <v>762.78</v>
      </c>
      <c r="S66" s="145">
        <f t="shared" si="65"/>
        <v>1</v>
      </c>
      <c r="T66" s="385"/>
      <c r="U66" s="149">
        <f t="shared" ref="U66:U69" si="66">+E66-Q66</f>
        <v>0</v>
      </c>
      <c r="V66" s="149">
        <f t="shared" ref="V66:V69" si="67">+G66-R66</f>
        <v>0</v>
      </c>
      <c r="W66" s="145">
        <f t="shared" ref="W66:W69" si="68">1-S66</f>
        <v>0</v>
      </c>
      <c r="Y66" s="118"/>
      <c r="Z66" s="119"/>
      <c r="AA66" s="118"/>
      <c r="AB66" s="118"/>
    </row>
    <row r="67" spans="2:28" s="104" customFormat="1" ht="15" customHeight="1" x14ac:dyDescent="0.25">
      <c r="B67" s="443" t="s">
        <v>416</v>
      </c>
      <c r="C67" s="388" t="s">
        <v>417</v>
      </c>
      <c r="D67" s="380" t="s">
        <v>101</v>
      </c>
      <c r="E67" s="381">
        <v>86.65</v>
      </c>
      <c r="F67" s="382">
        <v>53.06</v>
      </c>
      <c r="G67" s="305">
        <f t="shared" si="55"/>
        <v>4597.6499999999996</v>
      </c>
      <c r="H67" s="142"/>
      <c r="I67" s="144"/>
      <c r="J67" s="297">
        <v>0</v>
      </c>
      <c r="K67" s="145">
        <v>0</v>
      </c>
      <c r="L67" s="384"/>
      <c r="M67" s="682">
        <f t="shared" ref="M67:M69" si="69">+E67</f>
        <v>86.65</v>
      </c>
      <c r="N67" s="683">
        <f t="shared" si="63"/>
        <v>4597.6499999999996</v>
      </c>
      <c r="O67" s="684">
        <f t="shared" si="64"/>
        <v>1</v>
      </c>
      <c r="P67" s="134"/>
      <c r="Q67" s="149">
        <f t="shared" si="65"/>
        <v>86.65</v>
      </c>
      <c r="R67" s="149">
        <f t="shared" si="65"/>
        <v>4597.6499999999996</v>
      </c>
      <c r="S67" s="145">
        <f t="shared" si="65"/>
        <v>1</v>
      </c>
      <c r="T67" s="385"/>
      <c r="U67" s="149">
        <f t="shared" si="66"/>
        <v>0</v>
      </c>
      <c r="V67" s="149">
        <f t="shared" si="67"/>
        <v>0</v>
      </c>
      <c r="W67" s="145">
        <f t="shared" si="68"/>
        <v>0</v>
      </c>
      <c r="Y67" s="118"/>
      <c r="Z67" s="119"/>
      <c r="AA67" s="118"/>
      <c r="AB67" s="118"/>
    </row>
    <row r="68" spans="2:28" s="104" customFormat="1" ht="15" customHeight="1" x14ac:dyDescent="0.25">
      <c r="B68" s="443" t="s">
        <v>418</v>
      </c>
      <c r="C68" s="388" t="s">
        <v>419</v>
      </c>
      <c r="D68" s="380" t="s">
        <v>101</v>
      </c>
      <c r="E68" s="381">
        <v>86.65</v>
      </c>
      <c r="F68" s="382">
        <v>2.92</v>
      </c>
      <c r="G68" s="305">
        <f t="shared" si="55"/>
        <v>253.02</v>
      </c>
      <c r="H68" s="142"/>
      <c r="I68" s="144"/>
      <c r="J68" s="297">
        <v>0</v>
      </c>
      <c r="K68" s="145">
        <v>0</v>
      </c>
      <c r="L68" s="384"/>
      <c r="M68" s="682">
        <f t="shared" si="69"/>
        <v>86.65</v>
      </c>
      <c r="N68" s="683">
        <f t="shared" si="63"/>
        <v>253.02</v>
      </c>
      <c r="O68" s="684">
        <f t="shared" si="64"/>
        <v>1</v>
      </c>
      <c r="P68" s="134"/>
      <c r="Q68" s="149">
        <f t="shared" si="65"/>
        <v>86.65</v>
      </c>
      <c r="R68" s="149">
        <f t="shared" si="65"/>
        <v>253.02</v>
      </c>
      <c r="S68" s="145">
        <f t="shared" si="65"/>
        <v>1</v>
      </c>
      <c r="T68" s="385"/>
      <c r="U68" s="149">
        <f t="shared" si="66"/>
        <v>0</v>
      </c>
      <c r="V68" s="149">
        <f t="shared" si="67"/>
        <v>0</v>
      </c>
      <c r="W68" s="145">
        <f t="shared" si="68"/>
        <v>0</v>
      </c>
      <c r="Y68" s="118"/>
      <c r="Z68" s="119"/>
      <c r="AA68" s="118"/>
      <c r="AB68" s="118"/>
    </row>
    <row r="69" spans="2:28" s="104" customFormat="1" ht="15" customHeight="1" x14ac:dyDescent="0.25">
      <c r="B69" s="443" t="s">
        <v>420</v>
      </c>
      <c r="C69" s="388" t="s">
        <v>411</v>
      </c>
      <c r="D69" s="380" t="s">
        <v>145</v>
      </c>
      <c r="E69" s="381">
        <v>110</v>
      </c>
      <c r="F69" s="382">
        <v>4.4800000000000004</v>
      </c>
      <c r="G69" s="305">
        <f t="shared" si="55"/>
        <v>492.8</v>
      </c>
      <c r="H69" s="142"/>
      <c r="I69" s="144"/>
      <c r="J69" s="297">
        <v>0</v>
      </c>
      <c r="K69" s="145">
        <v>0</v>
      </c>
      <c r="L69" s="384"/>
      <c r="M69" s="682">
        <f t="shared" si="69"/>
        <v>110</v>
      </c>
      <c r="N69" s="683">
        <f t="shared" si="63"/>
        <v>492.8</v>
      </c>
      <c r="O69" s="684">
        <f t="shared" si="64"/>
        <v>1</v>
      </c>
      <c r="P69" s="134"/>
      <c r="Q69" s="149">
        <f t="shared" si="65"/>
        <v>110</v>
      </c>
      <c r="R69" s="149">
        <f t="shared" si="65"/>
        <v>492.8</v>
      </c>
      <c r="S69" s="145">
        <f t="shared" si="65"/>
        <v>1</v>
      </c>
      <c r="T69" s="385"/>
      <c r="U69" s="149">
        <f t="shared" si="66"/>
        <v>0</v>
      </c>
      <c r="V69" s="149">
        <f t="shared" si="67"/>
        <v>0</v>
      </c>
      <c r="W69" s="145">
        <f t="shared" si="68"/>
        <v>0</v>
      </c>
      <c r="Y69" s="118"/>
      <c r="Z69" s="119"/>
      <c r="AA69" s="118"/>
      <c r="AB69" s="118"/>
    </row>
    <row r="70" spans="2:28" s="104" customFormat="1" ht="15" customHeight="1" x14ac:dyDescent="0.25">
      <c r="B70" s="442" t="s">
        <v>421</v>
      </c>
      <c r="C70" s="387" t="s">
        <v>422</v>
      </c>
      <c r="D70" s="390"/>
      <c r="E70" s="391"/>
      <c r="F70" s="392"/>
      <c r="G70" s="306"/>
      <c r="H70" s="142"/>
      <c r="I70" s="301"/>
      <c r="J70" s="302"/>
      <c r="K70" s="303"/>
      <c r="L70" s="384"/>
      <c r="M70" s="685"/>
      <c r="N70" s="686"/>
      <c r="O70" s="687"/>
      <c r="P70" s="134"/>
      <c r="Q70" s="304"/>
      <c r="R70" s="304"/>
      <c r="S70" s="303"/>
      <c r="T70" s="385"/>
      <c r="U70" s="304"/>
      <c r="V70" s="304"/>
      <c r="W70" s="303"/>
      <c r="Y70" s="118"/>
      <c r="Z70" s="119"/>
      <c r="AA70" s="118"/>
      <c r="AB70" s="118"/>
    </row>
    <row r="71" spans="2:28" s="104" customFormat="1" ht="15" customHeight="1" x14ac:dyDescent="0.25">
      <c r="B71" s="443" t="s">
        <v>423</v>
      </c>
      <c r="C71" s="388" t="s">
        <v>424</v>
      </c>
      <c r="D71" s="380" t="s">
        <v>101</v>
      </c>
      <c r="E71" s="381">
        <v>64</v>
      </c>
      <c r="F71" s="382">
        <v>49.11</v>
      </c>
      <c r="G71" s="305">
        <f t="shared" ref="G71:G74" si="70">ROUND(E71*F71,2)</f>
        <v>3143.04</v>
      </c>
      <c r="H71" s="142"/>
      <c r="I71" s="144"/>
      <c r="J71" s="297">
        <v>0</v>
      </c>
      <c r="K71" s="145">
        <v>0</v>
      </c>
      <c r="L71" s="384"/>
      <c r="M71" s="682">
        <f>+E71</f>
        <v>64</v>
      </c>
      <c r="N71" s="683">
        <f t="shared" ref="N71:N74" si="71">ROUND(M71*$F71,2)</f>
        <v>3143.04</v>
      </c>
      <c r="O71" s="684">
        <f t="shared" ref="O71:O74" si="72">ROUND(N71/$G71,4)</f>
        <v>1</v>
      </c>
      <c r="P71" s="134"/>
      <c r="Q71" s="149">
        <f t="shared" ref="Q71:S74" si="73">+I71+M71</f>
        <v>64</v>
      </c>
      <c r="R71" s="149">
        <f t="shared" si="73"/>
        <v>3143.04</v>
      </c>
      <c r="S71" s="145">
        <f t="shared" si="73"/>
        <v>1</v>
      </c>
      <c r="T71" s="385"/>
      <c r="U71" s="149">
        <f t="shared" ref="U71:U74" si="74">+E71-Q71</f>
        <v>0</v>
      </c>
      <c r="V71" s="149">
        <f t="shared" ref="V71:V74" si="75">+G71-R71</f>
        <v>0</v>
      </c>
      <c r="W71" s="145">
        <f t="shared" ref="W71:W74" si="76">1-S71</f>
        <v>0</v>
      </c>
      <c r="Y71" s="118"/>
      <c r="Z71" s="119"/>
      <c r="AA71" s="118"/>
      <c r="AB71" s="118"/>
    </row>
    <row r="72" spans="2:28" s="104" customFormat="1" ht="15" customHeight="1" x14ac:dyDescent="0.25">
      <c r="B72" s="443" t="s">
        <v>425</v>
      </c>
      <c r="C72" s="388" t="s">
        <v>426</v>
      </c>
      <c r="D72" s="380" t="s">
        <v>101</v>
      </c>
      <c r="E72" s="381">
        <v>2.8</v>
      </c>
      <c r="F72" s="382">
        <v>87.93</v>
      </c>
      <c r="G72" s="305">
        <f t="shared" si="70"/>
        <v>246.2</v>
      </c>
      <c r="H72" s="142"/>
      <c r="I72" s="144"/>
      <c r="J72" s="297">
        <v>0</v>
      </c>
      <c r="K72" s="145">
        <v>0</v>
      </c>
      <c r="L72" s="384"/>
      <c r="M72" s="682">
        <f t="shared" ref="M72:M74" si="77">+E72</f>
        <v>2.8</v>
      </c>
      <c r="N72" s="683">
        <f t="shared" si="71"/>
        <v>246.2</v>
      </c>
      <c r="O72" s="684">
        <f t="shared" si="72"/>
        <v>1</v>
      </c>
      <c r="P72" s="134"/>
      <c r="Q72" s="149">
        <f t="shared" si="73"/>
        <v>2.8</v>
      </c>
      <c r="R72" s="149">
        <f t="shared" si="73"/>
        <v>246.2</v>
      </c>
      <c r="S72" s="145">
        <f t="shared" si="73"/>
        <v>1</v>
      </c>
      <c r="T72" s="385"/>
      <c r="U72" s="149">
        <f t="shared" si="74"/>
        <v>0</v>
      </c>
      <c r="V72" s="149">
        <f t="shared" si="75"/>
        <v>0</v>
      </c>
      <c r="W72" s="145">
        <f t="shared" si="76"/>
        <v>0</v>
      </c>
      <c r="Y72" s="118"/>
      <c r="Z72" s="119"/>
      <c r="AA72" s="118"/>
      <c r="AB72" s="118"/>
    </row>
    <row r="73" spans="2:28" s="104" customFormat="1" ht="15" customHeight="1" x14ac:dyDescent="0.25">
      <c r="B73" s="443" t="s">
        <v>427</v>
      </c>
      <c r="C73" s="388" t="s">
        <v>428</v>
      </c>
      <c r="D73" s="380" t="s">
        <v>145</v>
      </c>
      <c r="E73" s="381">
        <v>28</v>
      </c>
      <c r="F73" s="382">
        <v>51.24</v>
      </c>
      <c r="G73" s="305">
        <f t="shared" si="70"/>
        <v>1434.72</v>
      </c>
      <c r="H73" s="142"/>
      <c r="I73" s="144"/>
      <c r="J73" s="297">
        <v>0</v>
      </c>
      <c r="K73" s="145">
        <v>0</v>
      </c>
      <c r="L73" s="384"/>
      <c r="M73" s="682">
        <f t="shared" si="77"/>
        <v>28</v>
      </c>
      <c r="N73" s="683">
        <f t="shared" si="71"/>
        <v>1434.72</v>
      </c>
      <c r="O73" s="684">
        <f t="shared" si="72"/>
        <v>1</v>
      </c>
      <c r="P73" s="134"/>
      <c r="Q73" s="149">
        <f t="shared" si="73"/>
        <v>28</v>
      </c>
      <c r="R73" s="149">
        <f t="shared" si="73"/>
        <v>1434.72</v>
      </c>
      <c r="S73" s="145">
        <f t="shared" si="73"/>
        <v>1</v>
      </c>
      <c r="T73" s="385"/>
      <c r="U73" s="149">
        <f t="shared" si="74"/>
        <v>0</v>
      </c>
      <c r="V73" s="149">
        <f t="shared" si="75"/>
        <v>0</v>
      </c>
      <c r="W73" s="145">
        <f t="shared" si="76"/>
        <v>0</v>
      </c>
      <c r="Y73" s="118"/>
      <c r="Z73" s="119"/>
      <c r="AA73" s="118"/>
      <c r="AB73" s="118"/>
    </row>
    <row r="74" spans="2:28" s="104" customFormat="1" ht="15" customHeight="1" x14ac:dyDescent="0.25">
      <c r="B74" s="443" t="s">
        <v>429</v>
      </c>
      <c r="C74" s="388" t="s">
        <v>409</v>
      </c>
      <c r="D74" s="380" t="s">
        <v>101</v>
      </c>
      <c r="E74" s="381">
        <v>64</v>
      </c>
      <c r="F74" s="382">
        <v>2.92</v>
      </c>
      <c r="G74" s="305">
        <f t="shared" si="70"/>
        <v>186.88</v>
      </c>
      <c r="H74" s="142"/>
      <c r="I74" s="144"/>
      <c r="J74" s="297">
        <v>0</v>
      </c>
      <c r="K74" s="145">
        <v>0</v>
      </c>
      <c r="L74" s="384"/>
      <c r="M74" s="682">
        <f t="shared" si="77"/>
        <v>64</v>
      </c>
      <c r="N74" s="683">
        <f t="shared" si="71"/>
        <v>186.88</v>
      </c>
      <c r="O74" s="684">
        <f t="shared" si="72"/>
        <v>1</v>
      </c>
      <c r="P74" s="134"/>
      <c r="Q74" s="149">
        <f t="shared" si="73"/>
        <v>64</v>
      </c>
      <c r="R74" s="149">
        <f t="shared" si="73"/>
        <v>186.88</v>
      </c>
      <c r="S74" s="145">
        <f t="shared" si="73"/>
        <v>1</v>
      </c>
      <c r="T74" s="385"/>
      <c r="U74" s="149">
        <f t="shared" si="74"/>
        <v>0</v>
      </c>
      <c r="V74" s="149">
        <f t="shared" si="75"/>
        <v>0</v>
      </c>
      <c r="W74" s="145">
        <f t="shared" si="76"/>
        <v>0</v>
      </c>
      <c r="Y74" s="118"/>
      <c r="Z74" s="119"/>
      <c r="AA74" s="118"/>
      <c r="AB74" s="118"/>
    </row>
    <row r="75" spans="2:28" s="104" customFormat="1" ht="15" customHeight="1" x14ac:dyDescent="0.25">
      <c r="B75" s="442" t="s">
        <v>430</v>
      </c>
      <c r="C75" s="387" t="s">
        <v>431</v>
      </c>
      <c r="D75" s="390"/>
      <c r="E75" s="391"/>
      <c r="F75" s="392"/>
      <c r="G75" s="306"/>
      <c r="H75" s="142"/>
      <c r="I75" s="301"/>
      <c r="J75" s="302"/>
      <c r="K75" s="303"/>
      <c r="L75" s="384"/>
      <c r="M75" s="685"/>
      <c r="N75" s="686"/>
      <c r="O75" s="687"/>
      <c r="P75" s="134"/>
      <c r="Q75" s="304"/>
      <c r="R75" s="304"/>
      <c r="S75" s="303"/>
      <c r="T75" s="385"/>
      <c r="U75" s="304"/>
      <c r="V75" s="304"/>
      <c r="W75" s="303"/>
      <c r="Y75" s="118"/>
      <c r="Z75" s="119"/>
      <c r="AA75" s="118"/>
      <c r="AB75" s="118"/>
    </row>
    <row r="76" spans="2:28" s="104" customFormat="1" ht="15" customHeight="1" x14ac:dyDescent="0.25">
      <c r="B76" s="443" t="s">
        <v>432</v>
      </c>
      <c r="C76" s="388" t="s">
        <v>433</v>
      </c>
      <c r="D76" s="380" t="s">
        <v>233</v>
      </c>
      <c r="E76" s="381">
        <v>32</v>
      </c>
      <c r="F76" s="382">
        <v>202.81</v>
      </c>
      <c r="G76" s="305">
        <f t="shared" ref="G76:G77" si="78">ROUND(E76*F76,2)</f>
        <v>6489.92</v>
      </c>
      <c r="H76" s="142"/>
      <c r="I76" s="301">
        <v>32</v>
      </c>
      <c r="J76" s="302">
        <v>6489.92</v>
      </c>
      <c r="K76" s="303">
        <v>1</v>
      </c>
      <c r="L76" s="384"/>
      <c r="M76" s="682"/>
      <c r="N76" s="683">
        <f t="shared" ref="N76:N77" si="79">ROUND(M76*$F76,2)</f>
        <v>0</v>
      </c>
      <c r="O76" s="684">
        <f t="shared" ref="O76:O77" si="80">ROUND(N76/$G76,4)</f>
        <v>0</v>
      </c>
      <c r="P76" s="134"/>
      <c r="Q76" s="149">
        <f t="shared" ref="Q76:S77" si="81">+I76+M76</f>
        <v>32</v>
      </c>
      <c r="R76" s="149">
        <f t="shared" si="81"/>
        <v>6489.92</v>
      </c>
      <c r="S76" s="145">
        <f t="shared" si="81"/>
        <v>1</v>
      </c>
      <c r="T76" s="385"/>
      <c r="U76" s="149">
        <f t="shared" ref="U76:U77" si="82">+E76-Q76</f>
        <v>0</v>
      </c>
      <c r="V76" s="149">
        <f t="shared" ref="V76:V77" si="83">+G76-R76</f>
        <v>0</v>
      </c>
      <c r="W76" s="145">
        <f t="shared" ref="W76:W77" si="84">1-S76</f>
        <v>0</v>
      </c>
      <c r="Y76" s="118"/>
      <c r="Z76" s="119"/>
      <c r="AA76" s="118"/>
      <c r="AB76" s="118"/>
    </row>
    <row r="77" spans="2:28" s="104" customFormat="1" ht="15" customHeight="1" x14ac:dyDescent="0.25">
      <c r="B77" s="443" t="s">
        <v>434</v>
      </c>
      <c r="C77" s="388" t="s">
        <v>435</v>
      </c>
      <c r="D77" s="380" t="s">
        <v>233</v>
      </c>
      <c r="E77" s="381">
        <v>32</v>
      </c>
      <c r="F77" s="382">
        <v>312.41000000000003</v>
      </c>
      <c r="G77" s="305">
        <f t="shared" si="78"/>
        <v>9997.1200000000008</v>
      </c>
      <c r="H77" s="142"/>
      <c r="I77" s="301">
        <v>32</v>
      </c>
      <c r="J77" s="302">
        <v>9997.1200000000008</v>
      </c>
      <c r="K77" s="303">
        <v>1</v>
      </c>
      <c r="L77" s="384"/>
      <c r="M77" s="682"/>
      <c r="N77" s="683">
        <f t="shared" si="79"/>
        <v>0</v>
      </c>
      <c r="O77" s="684">
        <f t="shared" si="80"/>
        <v>0</v>
      </c>
      <c r="P77" s="134"/>
      <c r="Q77" s="149">
        <f t="shared" si="81"/>
        <v>32</v>
      </c>
      <c r="R77" s="149">
        <f t="shared" si="81"/>
        <v>9997.1200000000008</v>
      </c>
      <c r="S77" s="145">
        <f t="shared" si="81"/>
        <v>1</v>
      </c>
      <c r="T77" s="385"/>
      <c r="U77" s="149">
        <f t="shared" si="82"/>
        <v>0</v>
      </c>
      <c r="V77" s="149">
        <f t="shared" si="83"/>
        <v>0</v>
      </c>
      <c r="W77" s="145">
        <f t="shared" si="84"/>
        <v>0</v>
      </c>
      <c r="Y77" s="118"/>
      <c r="Z77" s="119"/>
      <c r="AA77" s="118"/>
      <c r="AB77" s="118"/>
    </row>
    <row r="78" spans="2:28" s="104" customFormat="1" ht="15" customHeight="1" x14ac:dyDescent="0.25">
      <c r="B78" s="441" t="s">
        <v>436</v>
      </c>
      <c r="C78" s="386" t="s">
        <v>437</v>
      </c>
      <c r="D78" s="393"/>
      <c r="E78" s="394"/>
      <c r="F78" s="395"/>
      <c r="G78" s="306"/>
      <c r="H78" s="142"/>
      <c r="I78" s="301"/>
      <c r="J78" s="302"/>
      <c r="K78" s="303"/>
      <c r="L78" s="384"/>
      <c r="M78" s="685"/>
      <c r="N78" s="686"/>
      <c r="O78" s="687"/>
      <c r="P78" s="134"/>
      <c r="Q78" s="304"/>
      <c r="R78" s="304"/>
      <c r="S78" s="303"/>
      <c r="T78" s="385"/>
      <c r="U78" s="304"/>
      <c r="V78" s="304"/>
      <c r="W78" s="303"/>
      <c r="Y78" s="118"/>
      <c r="Z78" s="119"/>
      <c r="AA78" s="118"/>
      <c r="AB78" s="118"/>
    </row>
    <row r="79" spans="2:28" s="104" customFormat="1" ht="15" customHeight="1" x14ac:dyDescent="0.25">
      <c r="B79" s="442" t="s">
        <v>438</v>
      </c>
      <c r="C79" s="387" t="s">
        <v>439</v>
      </c>
      <c r="D79" s="390"/>
      <c r="E79" s="391"/>
      <c r="F79" s="392"/>
      <c r="G79" s="306"/>
      <c r="H79" s="142"/>
      <c r="I79" s="301"/>
      <c r="J79" s="302"/>
      <c r="K79" s="303"/>
      <c r="L79" s="384"/>
      <c r="M79" s="685"/>
      <c r="N79" s="686"/>
      <c r="O79" s="687"/>
      <c r="P79" s="134"/>
      <c r="Q79" s="304"/>
      <c r="R79" s="304"/>
      <c r="S79" s="303"/>
      <c r="T79" s="385"/>
      <c r="U79" s="304"/>
      <c r="V79" s="304"/>
      <c r="W79" s="303"/>
      <c r="Y79" s="118"/>
      <c r="Z79" s="119"/>
      <c r="AA79" s="118"/>
      <c r="AB79" s="118"/>
    </row>
    <row r="80" spans="2:28" s="104" customFormat="1" ht="15" customHeight="1" x14ac:dyDescent="0.25">
      <c r="B80" s="443" t="s">
        <v>440</v>
      </c>
      <c r="C80" s="388" t="s">
        <v>441</v>
      </c>
      <c r="D80" s="380" t="s">
        <v>234</v>
      </c>
      <c r="E80" s="381">
        <v>43.2</v>
      </c>
      <c r="F80" s="382">
        <v>56.41</v>
      </c>
      <c r="G80" s="305">
        <f t="shared" ref="G80:G84" si="85">ROUND(E80*F80,2)</f>
        <v>2436.91</v>
      </c>
      <c r="H80" s="142"/>
      <c r="I80" s="301"/>
      <c r="J80" s="302">
        <v>0</v>
      </c>
      <c r="K80" s="303">
        <v>0</v>
      </c>
      <c r="L80" s="384"/>
      <c r="M80" s="682">
        <f>+E80</f>
        <v>43.2</v>
      </c>
      <c r="N80" s="683">
        <f t="shared" ref="N80:N84" si="86">ROUND(M80*$F80,2)</f>
        <v>2436.91</v>
      </c>
      <c r="O80" s="684">
        <f t="shared" ref="O80:O84" si="87">ROUND(N80/$G80,4)</f>
        <v>1</v>
      </c>
      <c r="P80" s="134"/>
      <c r="Q80" s="149">
        <f t="shared" ref="Q80:S84" si="88">+I80+M80</f>
        <v>43.2</v>
      </c>
      <c r="R80" s="149">
        <f t="shared" si="88"/>
        <v>2436.91</v>
      </c>
      <c r="S80" s="145">
        <f t="shared" si="88"/>
        <v>1</v>
      </c>
      <c r="T80" s="385"/>
      <c r="U80" s="149">
        <f t="shared" ref="U80:U84" si="89">+E80-Q80</f>
        <v>0</v>
      </c>
      <c r="V80" s="149">
        <f t="shared" ref="V80:V84" si="90">+G80-R80</f>
        <v>0</v>
      </c>
      <c r="W80" s="145">
        <f t="shared" ref="W80:W84" si="91">1-S80</f>
        <v>0</v>
      </c>
      <c r="Y80" s="118"/>
      <c r="Z80" s="119"/>
      <c r="AA80" s="118"/>
      <c r="AB80" s="118"/>
    </row>
    <row r="81" spans="2:28" s="104" customFormat="1" ht="15" customHeight="1" x14ac:dyDescent="0.25">
      <c r="B81" s="443" t="s">
        <v>442</v>
      </c>
      <c r="C81" s="388" t="s">
        <v>231</v>
      </c>
      <c r="D81" s="380" t="s">
        <v>234</v>
      </c>
      <c r="E81" s="381">
        <v>5.5</v>
      </c>
      <c r="F81" s="382">
        <v>42.31</v>
      </c>
      <c r="G81" s="305">
        <f t="shared" si="85"/>
        <v>232.71</v>
      </c>
      <c r="H81" s="142"/>
      <c r="I81" s="301"/>
      <c r="J81" s="302">
        <v>0</v>
      </c>
      <c r="K81" s="303">
        <v>0</v>
      </c>
      <c r="L81" s="384"/>
      <c r="M81" s="682">
        <f t="shared" ref="M81:M84" si="92">+E81</f>
        <v>5.5</v>
      </c>
      <c r="N81" s="683">
        <f t="shared" si="86"/>
        <v>232.71</v>
      </c>
      <c r="O81" s="684">
        <f t="shared" si="87"/>
        <v>1</v>
      </c>
      <c r="P81" s="134"/>
      <c r="Q81" s="149">
        <f t="shared" si="88"/>
        <v>5.5</v>
      </c>
      <c r="R81" s="149">
        <f t="shared" si="88"/>
        <v>232.71</v>
      </c>
      <c r="S81" s="145">
        <f t="shared" si="88"/>
        <v>1</v>
      </c>
      <c r="T81" s="385"/>
      <c r="U81" s="149">
        <f t="shared" si="89"/>
        <v>0</v>
      </c>
      <c r="V81" s="149">
        <f t="shared" si="90"/>
        <v>0</v>
      </c>
      <c r="W81" s="145">
        <f t="shared" si="91"/>
        <v>0</v>
      </c>
      <c r="Y81" s="118"/>
      <c r="Z81" s="119"/>
      <c r="AA81" s="118"/>
      <c r="AB81" s="118"/>
    </row>
    <row r="82" spans="2:28" s="104" customFormat="1" ht="15" customHeight="1" x14ac:dyDescent="0.25">
      <c r="B82" s="443" t="s">
        <v>443</v>
      </c>
      <c r="C82" s="388" t="s">
        <v>444</v>
      </c>
      <c r="D82" s="380" t="s">
        <v>234</v>
      </c>
      <c r="E82" s="381">
        <v>47.13</v>
      </c>
      <c r="F82" s="382">
        <v>28.21</v>
      </c>
      <c r="G82" s="305">
        <f t="shared" si="85"/>
        <v>1329.54</v>
      </c>
      <c r="H82" s="142"/>
      <c r="I82" s="301"/>
      <c r="J82" s="302">
        <v>0</v>
      </c>
      <c r="K82" s="303">
        <v>0</v>
      </c>
      <c r="L82" s="384"/>
      <c r="M82" s="682">
        <f t="shared" si="92"/>
        <v>47.13</v>
      </c>
      <c r="N82" s="683">
        <f t="shared" si="86"/>
        <v>1329.54</v>
      </c>
      <c r="O82" s="684">
        <f t="shared" si="87"/>
        <v>1</v>
      </c>
      <c r="P82" s="134"/>
      <c r="Q82" s="149">
        <f t="shared" si="88"/>
        <v>47.13</v>
      </c>
      <c r="R82" s="149">
        <f t="shared" si="88"/>
        <v>1329.54</v>
      </c>
      <c r="S82" s="145">
        <f t="shared" si="88"/>
        <v>1</v>
      </c>
      <c r="T82" s="385"/>
      <c r="U82" s="149">
        <f t="shared" si="89"/>
        <v>0</v>
      </c>
      <c r="V82" s="149">
        <f t="shared" si="90"/>
        <v>0</v>
      </c>
      <c r="W82" s="145">
        <f t="shared" si="91"/>
        <v>0</v>
      </c>
      <c r="Y82" s="118"/>
      <c r="Z82" s="119"/>
      <c r="AA82" s="118"/>
      <c r="AB82" s="118"/>
    </row>
    <row r="83" spans="2:28" s="104" customFormat="1" ht="15" customHeight="1" x14ac:dyDescent="0.25">
      <c r="B83" s="443" t="s">
        <v>445</v>
      </c>
      <c r="C83" s="389" t="s">
        <v>349</v>
      </c>
      <c r="D83" s="380" t="s">
        <v>234</v>
      </c>
      <c r="E83" s="381">
        <v>47.13</v>
      </c>
      <c r="F83" s="382">
        <v>18.98</v>
      </c>
      <c r="G83" s="305">
        <f t="shared" si="85"/>
        <v>894.53</v>
      </c>
      <c r="H83" s="142"/>
      <c r="I83" s="301"/>
      <c r="J83" s="302">
        <v>0</v>
      </c>
      <c r="K83" s="303">
        <v>0</v>
      </c>
      <c r="L83" s="384"/>
      <c r="M83" s="682">
        <f t="shared" si="92"/>
        <v>47.13</v>
      </c>
      <c r="N83" s="683">
        <f t="shared" si="86"/>
        <v>894.53</v>
      </c>
      <c r="O83" s="684">
        <f t="shared" si="87"/>
        <v>1</v>
      </c>
      <c r="P83" s="134"/>
      <c r="Q83" s="149">
        <f t="shared" si="88"/>
        <v>47.13</v>
      </c>
      <c r="R83" s="149">
        <f t="shared" si="88"/>
        <v>894.53</v>
      </c>
      <c r="S83" s="145">
        <f t="shared" si="88"/>
        <v>1</v>
      </c>
      <c r="T83" s="385"/>
      <c r="U83" s="149">
        <f t="shared" si="89"/>
        <v>0</v>
      </c>
      <c r="V83" s="149">
        <f t="shared" si="90"/>
        <v>0</v>
      </c>
      <c r="W83" s="145">
        <f t="shared" si="91"/>
        <v>0</v>
      </c>
      <c r="Y83" s="118"/>
      <c r="Z83" s="119"/>
      <c r="AA83" s="118"/>
      <c r="AB83" s="118"/>
    </row>
    <row r="84" spans="2:28" s="104" customFormat="1" ht="15" customHeight="1" x14ac:dyDescent="0.25">
      <c r="B84" s="443" t="s">
        <v>446</v>
      </c>
      <c r="C84" s="388" t="s">
        <v>447</v>
      </c>
      <c r="D84" s="380" t="s">
        <v>101</v>
      </c>
      <c r="E84" s="381">
        <v>115.95</v>
      </c>
      <c r="F84" s="382">
        <v>4.25</v>
      </c>
      <c r="G84" s="305">
        <f t="shared" si="85"/>
        <v>492.79</v>
      </c>
      <c r="H84" s="142"/>
      <c r="I84" s="301"/>
      <c r="J84" s="302">
        <v>0</v>
      </c>
      <c r="K84" s="303">
        <v>0</v>
      </c>
      <c r="L84" s="384"/>
      <c r="M84" s="682">
        <f t="shared" si="92"/>
        <v>115.95</v>
      </c>
      <c r="N84" s="683">
        <f t="shared" si="86"/>
        <v>492.79</v>
      </c>
      <c r="O84" s="684">
        <f t="shared" si="87"/>
        <v>1</v>
      </c>
      <c r="P84" s="134"/>
      <c r="Q84" s="149">
        <f t="shared" si="88"/>
        <v>115.95</v>
      </c>
      <c r="R84" s="149">
        <f t="shared" si="88"/>
        <v>492.79</v>
      </c>
      <c r="S84" s="145">
        <f t="shared" si="88"/>
        <v>1</v>
      </c>
      <c r="T84" s="385"/>
      <c r="U84" s="149">
        <f t="shared" si="89"/>
        <v>0</v>
      </c>
      <c r="V84" s="149">
        <f t="shared" si="90"/>
        <v>0</v>
      </c>
      <c r="W84" s="145">
        <f t="shared" si="91"/>
        <v>0</v>
      </c>
      <c r="Y84" s="118"/>
      <c r="Z84" s="119"/>
      <c r="AA84" s="118"/>
      <c r="AB84" s="118"/>
    </row>
    <row r="85" spans="2:28" s="104" customFormat="1" ht="15" customHeight="1" x14ac:dyDescent="0.25">
      <c r="B85" s="442" t="s">
        <v>448</v>
      </c>
      <c r="C85" s="387" t="s">
        <v>449</v>
      </c>
      <c r="D85" s="390"/>
      <c r="E85" s="391"/>
      <c r="F85" s="392"/>
      <c r="G85" s="306"/>
      <c r="H85" s="142"/>
      <c r="I85" s="301"/>
      <c r="J85" s="302"/>
      <c r="K85" s="303"/>
      <c r="L85" s="384"/>
      <c r="M85" s="685"/>
      <c r="N85" s="686"/>
      <c r="O85" s="687"/>
      <c r="P85" s="134"/>
      <c r="Q85" s="304"/>
      <c r="R85" s="304"/>
      <c r="S85" s="303"/>
      <c r="T85" s="385"/>
      <c r="U85" s="304"/>
      <c r="V85" s="304"/>
      <c r="W85" s="303"/>
      <c r="Y85" s="118"/>
      <c r="Z85" s="119"/>
      <c r="AA85" s="118"/>
      <c r="AB85" s="118"/>
    </row>
    <row r="86" spans="2:28" s="104" customFormat="1" ht="15" customHeight="1" x14ac:dyDescent="0.25">
      <c r="B86" s="443" t="s">
        <v>450</v>
      </c>
      <c r="C86" s="388" t="s">
        <v>451</v>
      </c>
      <c r="D86" s="380" t="s">
        <v>101</v>
      </c>
      <c r="E86" s="381">
        <v>5.76</v>
      </c>
      <c r="F86" s="382">
        <v>34.68</v>
      </c>
      <c r="G86" s="305">
        <f t="shared" ref="G86:G89" si="93">ROUND(E86*F86,2)</f>
        <v>199.76</v>
      </c>
      <c r="H86" s="142"/>
      <c r="I86" s="301"/>
      <c r="J86" s="302">
        <v>0</v>
      </c>
      <c r="K86" s="303">
        <v>0</v>
      </c>
      <c r="L86" s="384"/>
      <c r="M86" s="682">
        <f>+E86</f>
        <v>5.76</v>
      </c>
      <c r="N86" s="683">
        <f t="shared" ref="N86:N89" si="94">ROUND(M86*$F86,2)</f>
        <v>199.76</v>
      </c>
      <c r="O86" s="684">
        <f t="shared" ref="O86:O89" si="95">ROUND(N86/$G86,4)</f>
        <v>1</v>
      </c>
      <c r="P86" s="134"/>
      <c r="Q86" s="149">
        <f t="shared" ref="Q86:S89" si="96">+I86+M86</f>
        <v>5.76</v>
      </c>
      <c r="R86" s="149">
        <f t="shared" si="96"/>
        <v>199.76</v>
      </c>
      <c r="S86" s="145">
        <f t="shared" si="96"/>
        <v>1</v>
      </c>
      <c r="T86" s="385"/>
      <c r="U86" s="149">
        <f t="shared" ref="U86:U89" si="97">+E86-Q86</f>
        <v>0</v>
      </c>
      <c r="V86" s="149">
        <f t="shared" ref="V86:V89" si="98">+G86-R86</f>
        <v>0</v>
      </c>
      <c r="W86" s="145">
        <f t="shared" ref="W86:W89" si="99">1-S86</f>
        <v>0</v>
      </c>
      <c r="Y86" s="118"/>
      <c r="Z86" s="119"/>
      <c r="AA86" s="118"/>
      <c r="AB86" s="118"/>
    </row>
    <row r="87" spans="2:28" s="104" customFormat="1" ht="15" customHeight="1" x14ac:dyDescent="0.25">
      <c r="B87" s="443" t="s">
        <v>452</v>
      </c>
      <c r="C87" s="388" t="s">
        <v>453</v>
      </c>
      <c r="D87" s="380" t="s">
        <v>145</v>
      </c>
      <c r="E87" s="381">
        <v>386</v>
      </c>
      <c r="F87" s="382">
        <v>40.96</v>
      </c>
      <c r="G87" s="305">
        <f t="shared" si="93"/>
        <v>15810.56</v>
      </c>
      <c r="H87" s="142"/>
      <c r="I87" s="301"/>
      <c r="J87" s="302">
        <v>0</v>
      </c>
      <c r="K87" s="303">
        <v>0</v>
      </c>
      <c r="L87" s="384"/>
      <c r="M87" s="682">
        <f t="shared" ref="M87:M89" si="100">+E87</f>
        <v>386</v>
      </c>
      <c r="N87" s="683">
        <f t="shared" si="94"/>
        <v>15810.56</v>
      </c>
      <c r="O87" s="684">
        <f t="shared" si="95"/>
        <v>1</v>
      </c>
      <c r="P87" s="134"/>
      <c r="Q87" s="149">
        <f t="shared" si="96"/>
        <v>386</v>
      </c>
      <c r="R87" s="149">
        <f t="shared" si="96"/>
        <v>15810.56</v>
      </c>
      <c r="S87" s="145">
        <f t="shared" si="96"/>
        <v>1</v>
      </c>
      <c r="T87" s="385"/>
      <c r="U87" s="149">
        <f t="shared" si="97"/>
        <v>0</v>
      </c>
      <c r="V87" s="149">
        <f t="shared" si="98"/>
        <v>0</v>
      </c>
      <c r="W87" s="145">
        <f t="shared" si="99"/>
        <v>0</v>
      </c>
      <c r="Y87" s="118"/>
      <c r="Z87" s="119"/>
      <c r="AA87" s="118"/>
      <c r="AB87" s="118"/>
    </row>
    <row r="88" spans="2:28" s="104" customFormat="1" ht="15" customHeight="1" x14ac:dyDescent="0.25">
      <c r="B88" s="443" t="s">
        <v>454</v>
      </c>
      <c r="C88" s="388" t="s">
        <v>455</v>
      </c>
      <c r="D88" s="380" t="s">
        <v>101</v>
      </c>
      <c r="E88" s="381">
        <v>115.8</v>
      </c>
      <c r="F88" s="382">
        <v>5.86</v>
      </c>
      <c r="G88" s="305">
        <f t="shared" si="93"/>
        <v>678.59</v>
      </c>
      <c r="H88" s="142"/>
      <c r="I88" s="301"/>
      <c r="J88" s="302">
        <v>0</v>
      </c>
      <c r="K88" s="303">
        <v>0</v>
      </c>
      <c r="L88" s="384"/>
      <c r="M88" s="682">
        <f t="shared" si="100"/>
        <v>115.8</v>
      </c>
      <c r="N88" s="683">
        <f t="shared" si="94"/>
        <v>678.59</v>
      </c>
      <c r="O88" s="684">
        <f t="shared" si="95"/>
        <v>1</v>
      </c>
      <c r="P88" s="134"/>
      <c r="Q88" s="149">
        <f t="shared" si="96"/>
        <v>115.8</v>
      </c>
      <c r="R88" s="149">
        <f t="shared" si="96"/>
        <v>678.59</v>
      </c>
      <c r="S88" s="145">
        <f t="shared" si="96"/>
        <v>1</v>
      </c>
      <c r="T88" s="385"/>
      <c r="U88" s="149">
        <f t="shared" si="97"/>
        <v>0</v>
      </c>
      <c r="V88" s="149">
        <f t="shared" si="98"/>
        <v>0</v>
      </c>
      <c r="W88" s="145">
        <f t="shared" si="99"/>
        <v>0</v>
      </c>
      <c r="Y88" s="118"/>
      <c r="Z88" s="119"/>
      <c r="AA88" s="118"/>
      <c r="AB88" s="118"/>
    </row>
    <row r="89" spans="2:28" s="104" customFormat="1" ht="15" customHeight="1" x14ac:dyDescent="0.25">
      <c r="B89" s="443" t="s">
        <v>456</v>
      </c>
      <c r="C89" s="388" t="s">
        <v>457</v>
      </c>
      <c r="D89" s="396" t="s">
        <v>145</v>
      </c>
      <c r="E89" s="397">
        <v>38.5</v>
      </c>
      <c r="F89" s="398">
        <v>5.44</v>
      </c>
      <c r="G89" s="305">
        <f t="shared" si="93"/>
        <v>209.44</v>
      </c>
      <c r="H89" s="142"/>
      <c r="I89" s="301"/>
      <c r="J89" s="302">
        <v>0</v>
      </c>
      <c r="K89" s="303">
        <v>0</v>
      </c>
      <c r="L89" s="384"/>
      <c r="M89" s="682">
        <f t="shared" si="100"/>
        <v>38.5</v>
      </c>
      <c r="N89" s="683">
        <f t="shared" si="94"/>
        <v>209.44</v>
      </c>
      <c r="O89" s="684">
        <f t="shared" si="95"/>
        <v>1</v>
      </c>
      <c r="P89" s="134"/>
      <c r="Q89" s="149">
        <f t="shared" si="96"/>
        <v>38.5</v>
      </c>
      <c r="R89" s="149">
        <f t="shared" si="96"/>
        <v>209.44</v>
      </c>
      <c r="S89" s="145">
        <f t="shared" si="96"/>
        <v>1</v>
      </c>
      <c r="T89" s="385"/>
      <c r="U89" s="149">
        <f t="shared" si="97"/>
        <v>0</v>
      </c>
      <c r="V89" s="149">
        <f t="shared" si="98"/>
        <v>0</v>
      </c>
      <c r="W89" s="145">
        <f t="shared" si="99"/>
        <v>0</v>
      </c>
      <c r="Y89" s="118"/>
      <c r="Z89" s="119"/>
      <c r="AA89" s="118"/>
      <c r="AB89" s="118"/>
    </row>
    <row r="90" spans="2:28" s="104" customFormat="1" ht="15" customHeight="1" x14ac:dyDescent="0.25">
      <c r="B90" s="441" t="s">
        <v>458</v>
      </c>
      <c r="C90" s="386" t="s">
        <v>459</v>
      </c>
      <c r="D90" s="393"/>
      <c r="E90" s="394"/>
      <c r="F90" s="395"/>
      <c r="G90" s="306"/>
      <c r="H90" s="142"/>
      <c r="I90" s="301"/>
      <c r="J90" s="302"/>
      <c r="K90" s="303"/>
      <c r="L90" s="384"/>
      <c r="M90" s="685"/>
      <c r="N90" s="686"/>
      <c r="O90" s="687"/>
      <c r="P90" s="134"/>
      <c r="Q90" s="304"/>
      <c r="R90" s="304"/>
      <c r="S90" s="303"/>
      <c r="T90" s="385"/>
      <c r="U90" s="304"/>
      <c r="V90" s="304"/>
      <c r="W90" s="303"/>
      <c r="Y90" s="118"/>
      <c r="Z90" s="119"/>
      <c r="AA90" s="118"/>
      <c r="AB90" s="118"/>
    </row>
    <row r="91" spans="2:28" s="104" customFormat="1" ht="15" customHeight="1" x14ac:dyDescent="0.25">
      <c r="B91" s="442" t="s">
        <v>460</v>
      </c>
      <c r="C91" s="387" t="s">
        <v>461</v>
      </c>
      <c r="D91" s="390"/>
      <c r="E91" s="391"/>
      <c r="F91" s="392"/>
      <c r="G91" s="306"/>
      <c r="H91" s="142"/>
      <c r="I91" s="301"/>
      <c r="J91" s="302"/>
      <c r="K91" s="303"/>
      <c r="L91" s="384"/>
      <c r="M91" s="685"/>
      <c r="N91" s="686"/>
      <c r="O91" s="687"/>
      <c r="P91" s="134"/>
      <c r="Q91" s="304"/>
      <c r="R91" s="304"/>
      <c r="S91" s="303"/>
      <c r="T91" s="385"/>
      <c r="U91" s="304"/>
      <c r="V91" s="304"/>
      <c r="W91" s="303"/>
      <c r="Y91" s="118"/>
      <c r="Z91" s="119"/>
      <c r="AA91" s="118"/>
      <c r="AB91" s="118"/>
    </row>
    <row r="92" spans="2:28" s="104" customFormat="1" ht="15" customHeight="1" x14ac:dyDescent="0.25">
      <c r="B92" s="443" t="s">
        <v>462</v>
      </c>
      <c r="C92" s="388" t="s">
        <v>441</v>
      </c>
      <c r="D92" s="380" t="s">
        <v>234</v>
      </c>
      <c r="E92" s="381">
        <v>9</v>
      </c>
      <c r="F92" s="382">
        <v>56.41</v>
      </c>
      <c r="G92" s="305">
        <f t="shared" ref="G92:G95" si="101">ROUND(E92*F92,2)</f>
        <v>507.69</v>
      </c>
      <c r="H92" s="142"/>
      <c r="I92" s="301"/>
      <c r="J92" s="302">
        <v>0</v>
      </c>
      <c r="K92" s="303">
        <v>0</v>
      </c>
      <c r="L92" s="384"/>
      <c r="M92" s="682">
        <f>+E92</f>
        <v>9</v>
      </c>
      <c r="N92" s="683">
        <f t="shared" ref="N92:N95" si="102">ROUND(M92*$F92,2)</f>
        <v>507.69</v>
      </c>
      <c r="O92" s="684">
        <f t="shared" ref="O92:O95" si="103">ROUND(N92/$G92,4)</f>
        <v>1</v>
      </c>
      <c r="P92" s="134"/>
      <c r="Q92" s="149">
        <f t="shared" ref="Q92:S95" si="104">+I92+M92</f>
        <v>9</v>
      </c>
      <c r="R92" s="149">
        <f t="shared" si="104"/>
        <v>507.69</v>
      </c>
      <c r="S92" s="145">
        <f t="shared" si="104"/>
        <v>1</v>
      </c>
      <c r="T92" s="385"/>
      <c r="U92" s="149">
        <f t="shared" ref="U92:U95" si="105">+E92-Q92</f>
        <v>0</v>
      </c>
      <c r="V92" s="149">
        <f t="shared" ref="V92:V95" si="106">+G92-R92</f>
        <v>0</v>
      </c>
      <c r="W92" s="145">
        <f t="shared" ref="W92:W95" si="107">1-S92</f>
        <v>0</v>
      </c>
      <c r="Y92" s="118"/>
      <c r="Z92" s="119"/>
      <c r="AA92" s="118"/>
      <c r="AB92" s="118"/>
    </row>
    <row r="93" spans="2:28" s="104" customFormat="1" ht="15" customHeight="1" x14ac:dyDescent="0.25">
      <c r="B93" s="443" t="s">
        <v>463</v>
      </c>
      <c r="C93" s="388" t="s">
        <v>347</v>
      </c>
      <c r="D93" s="380" t="s">
        <v>234</v>
      </c>
      <c r="E93" s="381">
        <v>10.75</v>
      </c>
      <c r="F93" s="382">
        <v>19.04</v>
      </c>
      <c r="G93" s="305">
        <f t="shared" si="101"/>
        <v>204.68</v>
      </c>
      <c r="H93" s="142"/>
      <c r="I93" s="301"/>
      <c r="J93" s="302">
        <v>0</v>
      </c>
      <c r="K93" s="303">
        <v>0</v>
      </c>
      <c r="L93" s="384"/>
      <c r="M93" s="682">
        <f t="shared" ref="M93:M95" si="108">+E93</f>
        <v>10.75</v>
      </c>
      <c r="N93" s="683">
        <f t="shared" si="102"/>
        <v>204.68</v>
      </c>
      <c r="O93" s="684">
        <f t="shared" si="103"/>
        <v>1</v>
      </c>
      <c r="P93" s="134"/>
      <c r="Q93" s="149">
        <f t="shared" si="104"/>
        <v>10.75</v>
      </c>
      <c r="R93" s="149">
        <f t="shared" si="104"/>
        <v>204.68</v>
      </c>
      <c r="S93" s="145">
        <f t="shared" si="104"/>
        <v>1</v>
      </c>
      <c r="T93" s="385"/>
      <c r="U93" s="149">
        <f t="shared" si="105"/>
        <v>0</v>
      </c>
      <c r="V93" s="149">
        <f t="shared" si="106"/>
        <v>0</v>
      </c>
      <c r="W93" s="145">
        <f t="shared" si="107"/>
        <v>0</v>
      </c>
      <c r="Y93" s="118"/>
      <c r="Z93" s="119"/>
      <c r="AA93" s="118"/>
      <c r="AB93" s="118"/>
    </row>
    <row r="94" spans="2:28" s="104" customFormat="1" ht="15" customHeight="1" x14ac:dyDescent="0.25">
      <c r="B94" s="443" t="s">
        <v>464</v>
      </c>
      <c r="C94" s="388" t="s">
        <v>444</v>
      </c>
      <c r="D94" s="380" t="s">
        <v>234</v>
      </c>
      <c r="E94" s="381">
        <v>8.75</v>
      </c>
      <c r="F94" s="382">
        <v>28.21</v>
      </c>
      <c r="G94" s="305">
        <f t="shared" si="101"/>
        <v>246.84</v>
      </c>
      <c r="H94" s="142"/>
      <c r="I94" s="301"/>
      <c r="J94" s="302">
        <v>0</v>
      </c>
      <c r="K94" s="303">
        <v>0</v>
      </c>
      <c r="L94" s="384"/>
      <c r="M94" s="682">
        <f t="shared" si="108"/>
        <v>8.75</v>
      </c>
      <c r="N94" s="683">
        <f t="shared" si="102"/>
        <v>246.84</v>
      </c>
      <c r="O94" s="684">
        <f t="shared" si="103"/>
        <v>1</v>
      </c>
      <c r="P94" s="134"/>
      <c r="Q94" s="149">
        <f t="shared" si="104"/>
        <v>8.75</v>
      </c>
      <c r="R94" s="149">
        <f t="shared" si="104"/>
        <v>246.84</v>
      </c>
      <c r="S94" s="145">
        <f t="shared" si="104"/>
        <v>1</v>
      </c>
      <c r="T94" s="385"/>
      <c r="U94" s="149">
        <f t="shared" si="105"/>
        <v>0</v>
      </c>
      <c r="V94" s="149">
        <f t="shared" si="106"/>
        <v>0</v>
      </c>
      <c r="W94" s="145">
        <f t="shared" si="107"/>
        <v>0</v>
      </c>
      <c r="Y94" s="118"/>
      <c r="Z94" s="119"/>
      <c r="AA94" s="118"/>
      <c r="AB94" s="118"/>
    </row>
    <row r="95" spans="2:28" s="104" customFormat="1" ht="15" customHeight="1" x14ac:dyDescent="0.25">
      <c r="B95" s="443" t="s">
        <v>465</v>
      </c>
      <c r="C95" s="389" t="s">
        <v>349</v>
      </c>
      <c r="D95" s="380" t="s">
        <v>234</v>
      </c>
      <c r="E95" s="381">
        <v>8.75</v>
      </c>
      <c r="F95" s="382">
        <v>18.98</v>
      </c>
      <c r="G95" s="305">
        <f t="shared" si="101"/>
        <v>166.08</v>
      </c>
      <c r="H95" s="142"/>
      <c r="I95" s="301"/>
      <c r="J95" s="302">
        <v>0</v>
      </c>
      <c r="K95" s="303">
        <v>0</v>
      </c>
      <c r="L95" s="384"/>
      <c r="M95" s="682">
        <f t="shared" si="108"/>
        <v>8.75</v>
      </c>
      <c r="N95" s="683">
        <f t="shared" si="102"/>
        <v>166.08</v>
      </c>
      <c r="O95" s="684">
        <f t="shared" si="103"/>
        <v>1</v>
      </c>
      <c r="P95" s="134"/>
      <c r="Q95" s="149">
        <f t="shared" si="104"/>
        <v>8.75</v>
      </c>
      <c r="R95" s="149">
        <f t="shared" si="104"/>
        <v>166.08</v>
      </c>
      <c r="S95" s="145">
        <f t="shared" si="104"/>
        <v>1</v>
      </c>
      <c r="T95" s="385"/>
      <c r="U95" s="149">
        <f t="shared" si="105"/>
        <v>0</v>
      </c>
      <c r="V95" s="149">
        <f t="shared" si="106"/>
        <v>0</v>
      </c>
      <c r="W95" s="145">
        <f t="shared" si="107"/>
        <v>0</v>
      </c>
      <c r="Y95" s="118"/>
      <c r="Z95" s="119"/>
      <c r="AA95" s="118"/>
      <c r="AB95" s="118"/>
    </row>
    <row r="96" spans="2:28" s="104" customFormat="1" ht="15" customHeight="1" x14ac:dyDescent="0.25">
      <c r="B96" s="442" t="s">
        <v>466</v>
      </c>
      <c r="C96" s="387" t="s">
        <v>467</v>
      </c>
      <c r="D96" s="390"/>
      <c r="E96" s="391"/>
      <c r="F96" s="392"/>
      <c r="G96" s="306"/>
      <c r="H96" s="142"/>
      <c r="I96" s="301"/>
      <c r="J96" s="302"/>
      <c r="K96" s="303"/>
      <c r="L96" s="384"/>
      <c r="M96" s="685"/>
      <c r="N96" s="686"/>
      <c r="O96" s="687"/>
      <c r="P96" s="134"/>
      <c r="Q96" s="304"/>
      <c r="R96" s="304"/>
      <c r="S96" s="303"/>
      <c r="T96" s="385"/>
      <c r="U96" s="304"/>
      <c r="V96" s="304"/>
      <c r="W96" s="303"/>
      <c r="Y96" s="118"/>
      <c r="Z96" s="119"/>
      <c r="AA96" s="118"/>
      <c r="AB96" s="118"/>
    </row>
    <row r="97" spans="2:28" s="104" customFormat="1" ht="15" customHeight="1" x14ac:dyDescent="0.25">
      <c r="B97" s="443" t="s">
        <v>468</v>
      </c>
      <c r="C97" s="388" t="s">
        <v>469</v>
      </c>
      <c r="D97" s="380" t="s">
        <v>102</v>
      </c>
      <c r="E97" s="381">
        <v>653.79999999999995</v>
      </c>
      <c r="F97" s="382">
        <v>7.85</v>
      </c>
      <c r="G97" s="305">
        <f t="shared" ref="G97:G101" si="109">ROUND(E97*F97,2)</f>
        <v>5132.33</v>
      </c>
      <c r="H97" s="142"/>
      <c r="I97" s="301"/>
      <c r="J97" s="302">
        <v>0</v>
      </c>
      <c r="K97" s="303">
        <v>0</v>
      </c>
      <c r="L97" s="384"/>
      <c r="M97" s="682">
        <f>+E97</f>
        <v>653.79999999999995</v>
      </c>
      <c r="N97" s="683">
        <f t="shared" ref="N97:N101" si="110">ROUND(M97*$F97,2)</f>
        <v>5132.33</v>
      </c>
      <c r="O97" s="684">
        <f t="shared" ref="O97:O101" si="111">ROUND(N97/$G97,4)</f>
        <v>1</v>
      </c>
      <c r="P97" s="134"/>
      <c r="Q97" s="149">
        <f t="shared" ref="Q97:S101" si="112">+I97+M97</f>
        <v>653.79999999999995</v>
      </c>
      <c r="R97" s="149">
        <f t="shared" si="112"/>
        <v>5132.33</v>
      </c>
      <c r="S97" s="145">
        <f t="shared" si="112"/>
        <v>1</v>
      </c>
      <c r="T97" s="385"/>
      <c r="U97" s="149">
        <f t="shared" ref="U97:U101" si="113">+E97-Q97</f>
        <v>0</v>
      </c>
      <c r="V97" s="149">
        <f t="shared" ref="V97:V101" si="114">+G97-R97</f>
        <v>0</v>
      </c>
      <c r="W97" s="145">
        <f t="shared" ref="W97:W101" si="115">1-S97</f>
        <v>0</v>
      </c>
      <c r="Y97" s="118"/>
      <c r="Z97" s="119"/>
      <c r="AA97" s="118"/>
      <c r="AB97" s="118"/>
    </row>
    <row r="98" spans="2:28" s="104" customFormat="1" ht="15" customHeight="1" x14ac:dyDescent="0.25">
      <c r="B98" s="443" t="s">
        <v>470</v>
      </c>
      <c r="C98" s="388" t="s">
        <v>471</v>
      </c>
      <c r="D98" s="380" t="s">
        <v>101</v>
      </c>
      <c r="E98" s="381">
        <v>251.02</v>
      </c>
      <c r="F98" s="382">
        <v>73.97</v>
      </c>
      <c r="G98" s="305">
        <f t="shared" si="109"/>
        <v>18567.95</v>
      </c>
      <c r="H98" s="142"/>
      <c r="I98" s="301"/>
      <c r="J98" s="302">
        <v>0</v>
      </c>
      <c r="K98" s="303">
        <v>0</v>
      </c>
      <c r="L98" s="384"/>
      <c r="M98" s="682">
        <f t="shared" ref="M98:M101" si="116">+E98</f>
        <v>251.02</v>
      </c>
      <c r="N98" s="683">
        <f t="shared" si="110"/>
        <v>18567.95</v>
      </c>
      <c r="O98" s="684">
        <f t="shared" si="111"/>
        <v>1</v>
      </c>
      <c r="P98" s="134"/>
      <c r="Q98" s="149">
        <f t="shared" si="112"/>
        <v>251.02</v>
      </c>
      <c r="R98" s="149">
        <f t="shared" si="112"/>
        <v>18567.95</v>
      </c>
      <c r="S98" s="145">
        <f t="shared" si="112"/>
        <v>1</v>
      </c>
      <c r="T98" s="385"/>
      <c r="U98" s="149">
        <f t="shared" si="113"/>
        <v>0</v>
      </c>
      <c r="V98" s="149">
        <f t="shared" si="114"/>
        <v>0</v>
      </c>
      <c r="W98" s="145">
        <f t="shared" si="115"/>
        <v>0</v>
      </c>
      <c r="Y98" s="118"/>
      <c r="Z98" s="119"/>
      <c r="AA98" s="118"/>
      <c r="AB98" s="118"/>
    </row>
    <row r="99" spans="2:28" s="104" customFormat="1" ht="15" customHeight="1" x14ac:dyDescent="0.25">
      <c r="B99" s="443" t="s">
        <v>472</v>
      </c>
      <c r="C99" s="389" t="s">
        <v>473</v>
      </c>
      <c r="D99" s="380" t="s">
        <v>234</v>
      </c>
      <c r="E99" s="381">
        <v>32.94</v>
      </c>
      <c r="F99" s="382">
        <v>477.23</v>
      </c>
      <c r="G99" s="305">
        <f t="shared" si="109"/>
        <v>15719.96</v>
      </c>
      <c r="H99" s="142"/>
      <c r="I99" s="301"/>
      <c r="J99" s="302">
        <v>0</v>
      </c>
      <c r="K99" s="303">
        <v>0</v>
      </c>
      <c r="L99" s="384"/>
      <c r="M99" s="682">
        <f t="shared" si="116"/>
        <v>32.94</v>
      </c>
      <c r="N99" s="683">
        <f t="shared" si="110"/>
        <v>15719.96</v>
      </c>
      <c r="O99" s="684">
        <f t="shared" si="111"/>
        <v>1</v>
      </c>
      <c r="P99" s="134"/>
      <c r="Q99" s="149">
        <f t="shared" si="112"/>
        <v>32.94</v>
      </c>
      <c r="R99" s="149">
        <f t="shared" si="112"/>
        <v>15719.96</v>
      </c>
      <c r="S99" s="145">
        <f t="shared" si="112"/>
        <v>1</v>
      </c>
      <c r="T99" s="385"/>
      <c r="U99" s="149">
        <f t="shared" si="113"/>
        <v>0</v>
      </c>
      <c r="V99" s="149">
        <f t="shared" si="114"/>
        <v>0</v>
      </c>
      <c r="W99" s="145">
        <f t="shared" si="115"/>
        <v>0</v>
      </c>
      <c r="Y99" s="118"/>
      <c r="Z99" s="119"/>
      <c r="AA99" s="118"/>
      <c r="AB99" s="118"/>
    </row>
    <row r="100" spans="2:28" s="104" customFormat="1" ht="15" customHeight="1" x14ac:dyDescent="0.25">
      <c r="B100" s="443" t="s">
        <v>474</v>
      </c>
      <c r="C100" s="388" t="s">
        <v>365</v>
      </c>
      <c r="D100" s="380" t="s">
        <v>101</v>
      </c>
      <c r="E100" s="381">
        <v>219.61</v>
      </c>
      <c r="F100" s="382">
        <v>2.92</v>
      </c>
      <c r="G100" s="305">
        <f t="shared" si="109"/>
        <v>641.26</v>
      </c>
      <c r="H100" s="142"/>
      <c r="I100" s="301"/>
      <c r="J100" s="302">
        <v>0</v>
      </c>
      <c r="K100" s="303">
        <v>0</v>
      </c>
      <c r="L100" s="384"/>
      <c r="M100" s="682">
        <f t="shared" si="116"/>
        <v>219.61</v>
      </c>
      <c r="N100" s="683">
        <f t="shared" si="110"/>
        <v>641.26</v>
      </c>
      <c r="O100" s="684">
        <f t="shared" si="111"/>
        <v>1</v>
      </c>
      <c r="P100" s="134"/>
      <c r="Q100" s="149">
        <f t="shared" si="112"/>
        <v>219.61</v>
      </c>
      <c r="R100" s="149">
        <f t="shared" si="112"/>
        <v>641.26</v>
      </c>
      <c r="S100" s="145">
        <f t="shared" si="112"/>
        <v>1</v>
      </c>
      <c r="T100" s="385"/>
      <c r="U100" s="149">
        <f t="shared" si="113"/>
        <v>0</v>
      </c>
      <c r="V100" s="149">
        <f t="shared" si="114"/>
        <v>0</v>
      </c>
      <c r="W100" s="145">
        <f t="shared" si="115"/>
        <v>0</v>
      </c>
      <c r="Y100" s="118"/>
      <c r="Z100" s="119"/>
      <c r="AA100" s="118"/>
      <c r="AB100" s="118"/>
    </row>
    <row r="101" spans="2:28" s="104" customFormat="1" ht="15" customHeight="1" x14ac:dyDescent="0.25">
      <c r="B101" s="443" t="s">
        <v>475</v>
      </c>
      <c r="C101" s="388" t="s">
        <v>411</v>
      </c>
      <c r="D101" s="380" t="s">
        <v>145</v>
      </c>
      <c r="E101" s="381">
        <v>6</v>
      </c>
      <c r="F101" s="382">
        <v>4.4800000000000004</v>
      </c>
      <c r="G101" s="305">
        <f t="shared" si="109"/>
        <v>26.88</v>
      </c>
      <c r="H101" s="142"/>
      <c r="I101" s="301"/>
      <c r="J101" s="302">
        <v>0</v>
      </c>
      <c r="K101" s="303">
        <v>0</v>
      </c>
      <c r="L101" s="384"/>
      <c r="M101" s="682">
        <f t="shared" si="116"/>
        <v>6</v>
      </c>
      <c r="N101" s="683">
        <f t="shared" si="110"/>
        <v>26.88</v>
      </c>
      <c r="O101" s="684">
        <f t="shared" si="111"/>
        <v>1</v>
      </c>
      <c r="P101" s="134"/>
      <c r="Q101" s="149">
        <f t="shared" si="112"/>
        <v>6</v>
      </c>
      <c r="R101" s="149">
        <f t="shared" si="112"/>
        <v>26.88</v>
      </c>
      <c r="S101" s="145">
        <f t="shared" si="112"/>
        <v>1</v>
      </c>
      <c r="T101" s="385"/>
      <c r="U101" s="149">
        <f t="shared" si="113"/>
        <v>0</v>
      </c>
      <c r="V101" s="149">
        <f t="shared" si="114"/>
        <v>0</v>
      </c>
      <c r="W101" s="145">
        <f t="shared" si="115"/>
        <v>0</v>
      </c>
      <c r="Y101" s="118"/>
      <c r="Z101" s="119"/>
      <c r="AA101" s="118"/>
      <c r="AB101" s="118"/>
    </row>
    <row r="102" spans="2:28" s="104" customFormat="1" ht="15" customHeight="1" x14ac:dyDescent="0.25">
      <c r="B102" s="441" t="s">
        <v>476</v>
      </c>
      <c r="C102" s="386" t="s">
        <v>477</v>
      </c>
      <c r="D102" s="393"/>
      <c r="E102" s="394"/>
      <c r="F102" s="395"/>
      <c r="G102" s="306"/>
      <c r="H102" s="142"/>
      <c r="I102" s="301"/>
      <c r="J102" s="302"/>
      <c r="K102" s="303"/>
      <c r="L102" s="384"/>
      <c r="M102" s="685"/>
      <c r="N102" s="686"/>
      <c r="O102" s="687"/>
      <c r="P102" s="134"/>
      <c r="Q102" s="304"/>
      <c r="R102" s="304"/>
      <c r="S102" s="303"/>
      <c r="T102" s="385"/>
      <c r="U102" s="304"/>
      <c r="V102" s="304"/>
      <c r="W102" s="303"/>
      <c r="Y102" s="118"/>
      <c r="Z102" s="119"/>
      <c r="AA102" s="118"/>
      <c r="AB102" s="118"/>
    </row>
    <row r="103" spans="2:28" s="104" customFormat="1" ht="15" customHeight="1" x14ac:dyDescent="0.25">
      <c r="B103" s="442" t="s">
        <v>478</v>
      </c>
      <c r="C103" s="399" t="s">
        <v>479</v>
      </c>
      <c r="D103" s="390"/>
      <c r="E103" s="391"/>
      <c r="F103" s="392"/>
      <c r="G103" s="306"/>
      <c r="H103" s="142"/>
      <c r="I103" s="301"/>
      <c r="J103" s="302"/>
      <c r="K103" s="303"/>
      <c r="L103" s="384"/>
      <c r="M103" s="685"/>
      <c r="N103" s="686"/>
      <c r="O103" s="687"/>
      <c r="P103" s="134"/>
      <c r="Q103" s="304"/>
      <c r="R103" s="304"/>
      <c r="S103" s="303"/>
      <c r="T103" s="385"/>
      <c r="U103" s="304"/>
      <c r="V103" s="304"/>
      <c r="W103" s="303"/>
      <c r="Y103" s="118"/>
      <c r="Z103" s="119"/>
      <c r="AA103" s="118"/>
      <c r="AB103" s="118"/>
    </row>
    <row r="104" spans="2:28" s="104" customFormat="1" ht="15" customHeight="1" x14ac:dyDescent="0.25">
      <c r="B104" s="443" t="s">
        <v>480</v>
      </c>
      <c r="C104" s="388" t="s">
        <v>229</v>
      </c>
      <c r="D104" s="380" t="s">
        <v>101</v>
      </c>
      <c r="E104" s="381">
        <v>20.079999999999998</v>
      </c>
      <c r="F104" s="382">
        <v>1.06</v>
      </c>
      <c r="G104" s="305">
        <f t="shared" ref="G104:G105" si="117">ROUND(E104*F104,2)</f>
        <v>21.28</v>
      </c>
      <c r="H104" s="142"/>
      <c r="I104" s="301"/>
      <c r="J104" s="302">
        <v>0</v>
      </c>
      <c r="K104" s="303">
        <v>0</v>
      </c>
      <c r="L104" s="384"/>
      <c r="M104" s="682">
        <f>+E104</f>
        <v>20.079999999999998</v>
      </c>
      <c r="N104" s="683">
        <f t="shared" ref="N104:N105" si="118">ROUND(M104*$F104,2)</f>
        <v>21.28</v>
      </c>
      <c r="O104" s="684">
        <f t="shared" ref="O104:O105" si="119">ROUND(N104/$G104,4)</f>
        <v>1</v>
      </c>
      <c r="P104" s="134"/>
      <c r="Q104" s="149">
        <f t="shared" ref="Q104:S105" si="120">+I104+M104</f>
        <v>20.079999999999998</v>
      </c>
      <c r="R104" s="149">
        <f t="shared" si="120"/>
        <v>21.28</v>
      </c>
      <c r="S104" s="145">
        <f t="shared" si="120"/>
        <v>1</v>
      </c>
      <c r="T104" s="385"/>
      <c r="U104" s="149">
        <f t="shared" ref="U104:U105" si="121">+E104-Q104</f>
        <v>0</v>
      </c>
      <c r="V104" s="149">
        <f t="shared" ref="V104:V105" si="122">+G104-R104</f>
        <v>0</v>
      </c>
      <c r="W104" s="145">
        <f t="shared" ref="W104:W105" si="123">1-S104</f>
        <v>0</v>
      </c>
      <c r="Y104" s="118"/>
      <c r="Z104" s="119"/>
      <c r="AA104" s="118"/>
      <c r="AB104" s="118"/>
    </row>
    <row r="105" spans="2:28" s="104" customFormat="1" ht="15" customHeight="1" x14ac:dyDescent="0.25">
      <c r="B105" s="443" t="s">
        <v>481</v>
      </c>
      <c r="C105" s="388" t="s">
        <v>482</v>
      </c>
      <c r="D105" s="380" t="s">
        <v>101</v>
      </c>
      <c r="E105" s="381">
        <v>20.079999999999998</v>
      </c>
      <c r="F105" s="382">
        <v>1.69</v>
      </c>
      <c r="G105" s="305">
        <f t="shared" si="117"/>
        <v>33.94</v>
      </c>
      <c r="H105" s="142"/>
      <c r="I105" s="301"/>
      <c r="J105" s="302">
        <v>0</v>
      </c>
      <c r="K105" s="303">
        <v>0</v>
      </c>
      <c r="L105" s="384"/>
      <c r="M105" s="682">
        <f>+E105</f>
        <v>20.079999999999998</v>
      </c>
      <c r="N105" s="683">
        <f t="shared" si="118"/>
        <v>33.94</v>
      </c>
      <c r="O105" s="684">
        <f t="shared" si="119"/>
        <v>1</v>
      </c>
      <c r="P105" s="134"/>
      <c r="Q105" s="149">
        <f t="shared" si="120"/>
        <v>20.079999999999998</v>
      </c>
      <c r="R105" s="149">
        <f t="shared" si="120"/>
        <v>33.94</v>
      </c>
      <c r="S105" s="145">
        <f t="shared" si="120"/>
        <v>1</v>
      </c>
      <c r="T105" s="385"/>
      <c r="U105" s="149">
        <f t="shared" si="121"/>
        <v>0</v>
      </c>
      <c r="V105" s="149">
        <f t="shared" si="122"/>
        <v>0</v>
      </c>
      <c r="W105" s="145">
        <f t="shared" si="123"/>
        <v>0</v>
      </c>
      <c r="Y105" s="118"/>
      <c r="Z105" s="119"/>
      <c r="AA105" s="118"/>
      <c r="AB105" s="118"/>
    </row>
    <row r="106" spans="2:28" s="104" customFormat="1" ht="15" customHeight="1" x14ac:dyDescent="0.25">
      <c r="B106" s="442" t="s">
        <v>483</v>
      </c>
      <c r="C106" s="387" t="s">
        <v>226</v>
      </c>
      <c r="D106" s="390"/>
      <c r="E106" s="391"/>
      <c r="F106" s="392"/>
      <c r="G106" s="306"/>
      <c r="H106" s="142"/>
      <c r="I106" s="301"/>
      <c r="J106" s="302"/>
      <c r="K106" s="303"/>
      <c r="L106" s="384"/>
      <c r="M106" s="682"/>
      <c r="N106" s="686"/>
      <c r="O106" s="687"/>
      <c r="P106" s="134"/>
      <c r="Q106" s="304"/>
      <c r="R106" s="304"/>
      <c r="S106" s="303"/>
      <c r="T106" s="385"/>
      <c r="U106" s="304"/>
      <c r="V106" s="304"/>
      <c r="W106" s="303"/>
      <c r="Y106" s="118"/>
      <c r="Z106" s="119"/>
      <c r="AA106" s="118"/>
      <c r="AB106" s="118"/>
    </row>
    <row r="107" spans="2:28" s="104" customFormat="1" ht="15" customHeight="1" x14ac:dyDescent="0.25">
      <c r="B107" s="443" t="s">
        <v>484</v>
      </c>
      <c r="C107" s="388" t="s">
        <v>392</v>
      </c>
      <c r="D107" s="380" t="s">
        <v>234</v>
      </c>
      <c r="E107" s="381">
        <v>22.39</v>
      </c>
      <c r="F107" s="382">
        <v>22.11</v>
      </c>
      <c r="G107" s="305">
        <f t="shared" ref="G107:G109" si="124">ROUND(E107*F107,2)</f>
        <v>495.04</v>
      </c>
      <c r="H107" s="142"/>
      <c r="I107" s="301"/>
      <c r="J107" s="302">
        <v>0</v>
      </c>
      <c r="K107" s="303">
        <v>0</v>
      </c>
      <c r="L107" s="384"/>
      <c r="M107" s="682">
        <f>+E107</f>
        <v>22.39</v>
      </c>
      <c r="N107" s="683">
        <f t="shared" ref="N107:N109" si="125">ROUND(M107*$F107,2)</f>
        <v>495.04</v>
      </c>
      <c r="O107" s="684">
        <f t="shared" ref="O107:O109" si="126">ROUND(N107/$G107,4)</f>
        <v>1</v>
      </c>
      <c r="P107" s="134"/>
      <c r="Q107" s="149">
        <f t="shared" ref="Q107:S109" si="127">+I107+M107</f>
        <v>22.39</v>
      </c>
      <c r="R107" s="149">
        <f t="shared" si="127"/>
        <v>495.04</v>
      </c>
      <c r="S107" s="145">
        <f t="shared" si="127"/>
        <v>1</v>
      </c>
      <c r="T107" s="385"/>
      <c r="U107" s="149">
        <f t="shared" ref="U107:U109" si="128">+E107-Q107</f>
        <v>0</v>
      </c>
      <c r="V107" s="149">
        <f t="shared" ref="V107:V109" si="129">+G107-R107</f>
        <v>0</v>
      </c>
      <c r="W107" s="145">
        <f t="shared" ref="W107:W109" si="130">1-S107</f>
        <v>0</v>
      </c>
      <c r="Y107" s="118"/>
      <c r="Z107" s="119"/>
      <c r="AA107" s="118"/>
      <c r="AB107" s="118"/>
    </row>
    <row r="108" spans="2:28" s="104" customFormat="1" ht="15" customHeight="1" x14ac:dyDescent="0.25">
      <c r="B108" s="443" t="s">
        <v>485</v>
      </c>
      <c r="C108" s="388" t="s">
        <v>486</v>
      </c>
      <c r="D108" s="380" t="s">
        <v>234</v>
      </c>
      <c r="E108" s="381">
        <v>14.57</v>
      </c>
      <c r="F108" s="382">
        <v>83.65</v>
      </c>
      <c r="G108" s="305">
        <f t="shared" si="124"/>
        <v>1218.78</v>
      </c>
      <c r="H108" s="142"/>
      <c r="I108" s="301"/>
      <c r="J108" s="302">
        <v>0</v>
      </c>
      <c r="K108" s="303">
        <v>0</v>
      </c>
      <c r="L108" s="384"/>
      <c r="M108" s="682">
        <f t="shared" ref="M108:M109" si="131">+E108</f>
        <v>14.57</v>
      </c>
      <c r="N108" s="683">
        <f t="shared" si="125"/>
        <v>1218.78</v>
      </c>
      <c r="O108" s="684">
        <f t="shared" si="126"/>
        <v>1</v>
      </c>
      <c r="P108" s="134"/>
      <c r="Q108" s="149">
        <f t="shared" si="127"/>
        <v>14.57</v>
      </c>
      <c r="R108" s="149">
        <f t="shared" si="127"/>
        <v>1218.78</v>
      </c>
      <c r="S108" s="145">
        <f t="shared" si="127"/>
        <v>1</v>
      </c>
      <c r="T108" s="385"/>
      <c r="U108" s="149">
        <f t="shared" si="128"/>
        <v>0</v>
      </c>
      <c r="V108" s="149">
        <f t="shared" si="129"/>
        <v>0</v>
      </c>
      <c r="W108" s="145">
        <f t="shared" si="130"/>
        <v>0</v>
      </c>
      <c r="Y108" s="118"/>
      <c r="Z108" s="119"/>
      <c r="AA108" s="118"/>
      <c r="AB108" s="118"/>
    </row>
    <row r="109" spans="2:28" s="104" customFormat="1" ht="15" customHeight="1" x14ac:dyDescent="0.25">
      <c r="B109" s="443" t="s">
        <v>487</v>
      </c>
      <c r="C109" s="389" t="s">
        <v>349</v>
      </c>
      <c r="D109" s="380" t="s">
        <v>234</v>
      </c>
      <c r="E109" s="381">
        <v>9.7799999999999994</v>
      </c>
      <c r="F109" s="382">
        <v>18.98</v>
      </c>
      <c r="G109" s="305">
        <f t="shared" si="124"/>
        <v>185.62</v>
      </c>
      <c r="H109" s="142"/>
      <c r="I109" s="301"/>
      <c r="J109" s="302">
        <v>0</v>
      </c>
      <c r="K109" s="303">
        <v>0</v>
      </c>
      <c r="L109" s="384"/>
      <c r="M109" s="682">
        <f t="shared" si="131"/>
        <v>9.7799999999999994</v>
      </c>
      <c r="N109" s="683">
        <f t="shared" si="125"/>
        <v>185.62</v>
      </c>
      <c r="O109" s="684">
        <f t="shared" si="126"/>
        <v>1</v>
      </c>
      <c r="P109" s="134"/>
      <c r="Q109" s="149">
        <f t="shared" si="127"/>
        <v>9.7799999999999994</v>
      </c>
      <c r="R109" s="149">
        <f t="shared" si="127"/>
        <v>185.62</v>
      </c>
      <c r="S109" s="145">
        <f t="shared" si="127"/>
        <v>1</v>
      </c>
      <c r="T109" s="385"/>
      <c r="U109" s="149">
        <f t="shared" si="128"/>
        <v>0</v>
      </c>
      <c r="V109" s="149">
        <f t="shared" si="129"/>
        <v>0</v>
      </c>
      <c r="W109" s="145">
        <f t="shared" si="130"/>
        <v>0</v>
      </c>
      <c r="Y109" s="118"/>
      <c r="Z109" s="119"/>
      <c r="AA109" s="118"/>
      <c r="AB109" s="118"/>
    </row>
    <row r="110" spans="2:28" s="104" customFormat="1" ht="15" customHeight="1" x14ac:dyDescent="0.25">
      <c r="B110" s="442" t="s">
        <v>488</v>
      </c>
      <c r="C110" s="387" t="s">
        <v>227</v>
      </c>
      <c r="D110" s="390"/>
      <c r="E110" s="391"/>
      <c r="F110" s="392"/>
      <c r="G110" s="306"/>
      <c r="H110" s="142"/>
      <c r="I110" s="301"/>
      <c r="J110" s="302"/>
      <c r="K110" s="303"/>
      <c r="L110" s="384"/>
      <c r="M110" s="682"/>
      <c r="N110" s="686"/>
      <c r="O110" s="687"/>
      <c r="P110" s="134"/>
      <c r="Q110" s="304"/>
      <c r="R110" s="304"/>
      <c r="S110" s="303"/>
      <c r="T110" s="385"/>
      <c r="U110" s="304"/>
      <c r="V110" s="304"/>
      <c r="W110" s="303"/>
      <c r="Y110" s="118"/>
      <c r="Z110" s="119"/>
      <c r="AA110" s="118"/>
      <c r="AB110" s="118"/>
    </row>
    <row r="111" spans="2:28" s="104" customFormat="1" ht="15" customHeight="1" x14ac:dyDescent="0.25">
      <c r="B111" s="443" t="s">
        <v>489</v>
      </c>
      <c r="C111" s="388" t="s">
        <v>490</v>
      </c>
      <c r="D111" s="380" t="s">
        <v>101</v>
      </c>
      <c r="E111" s="381">
        <v>20.079999999999998</v>
      </c>
      <c r="F111" s="382">
        <v>40.1</v>
      </c>
      <c r="G111" s="305">
        <f>ROUND(E111*F111,2)</f>
        <v>805.21</v>
      </c>
      <c r="H111" s="142"/>
      <c r="I111" s="301"/>
      <c r="J111" s="302">
        <v>0</v>
      </c>
      <c r="K111" s="303">
        <v>0</v>
      </c>
      <c r="L111" s="384"/>
      <c r="M111" s="682">
        <f>+E111</f>
        <v>20.079999999999998</v>
      </c>
      <c r="N111" s="683">
        <f>ROUND(M111*$F111,2)</f>
        <v>805.21</v>
      </c>
      <c r="O111" s="684">
        <f>ROUND(N111/$G111,4)</f>
        <v>1</v>
      </c>
      <c r="P111" s="134"/>
      <c r="Q111" s="149">
        <f>+I111+M111</f>
        <v>20.079999999999998</v>
      </c>
      <c r="R111" s="149">
        <f>+J111+N111</f>
        <v>805.21</v>
      </c>
      <c r="S111" s="145">
        <f>+K111+O111</f>
        <v>1</v>
      </c>
      <c r="T111" s="385"/>
      <c r="U111" s="149">
        <f>+E111-Q111</f>
        <v>0</v>
      </c>
      <c r="V111" s="149">
        <f>+G111-R111</f>
        <v>0</v>
      </c>
      <c r="W111" s="145">
        <f>1-S111</f>
        <v>0</v>
      </c>
      <c r="Y111" s="118"/>
      <c r="Z111" s="119"/>
      <c r="AA111" s="118"/>
      <c r="AB111" s="118"/>
    </row>
    <row r="112" spans="2:28" s="104" customFormat="1" ht="15" customHeight="1" x14ac:dyDescent="0.25">
      <c r="B112" s="442" t="s">
        <v>491</v>
      </c>
      <c r="C112" s="387" t="s">
        <v>228</v>
      </c>
      <c r="D112" s="390"/>
      <c r="E112" s="391"/>
      <c r="F112" s="392"/>
      <c r="G112" s="306"/>
      <c r="H112" s="142"/>
      <c r="I112" s="301"/>
      <c r="J112" s="302"/>
      <c r="K112" s="303"/>
      <c r="L112" s="384"/>
      <c r="M112" s="682"/>
      <c r="N112" s="686"/>
      <c r="O112" s="687"/>
      <c r="P112" s="134"/>
      <c r="Q112" s="304"/>
      <c r="R112" s="304"/>
      <c r="S112" s="303"/>
      <c r="T112" s="385"/>
      <c r="U112" s="304"/>
      <c r="V112" s="304"/>
      <c r="W112" s="303"/>
      <c r="Y112" s="118"/>
      <c r="Z112" s="119"/>
      <c r="AA112" s="118"/>
      <c r="AB112" s="118"/>
    </row>
    <row r="113" spans="2:28" s="104" customFormat="1" ht="15" customHeight="1" x14ac:dyDescent="0.25">
      <c r="B113" s="444" t="s">
        <v>492</v>
      </c>
      <c r="C113" s="400" t="s">
        <v>232</v>
      </c>
      <c r="D113" s="401"/>
      <c r="E113" s="402"/>
      <c r="F113" s="403"/>
      <c r="G113" s="306"/>
      <c r="H113" s="142"/>
      <c r="I113" s="301"/>
      <c r="J113" s="302"/>
      <c r="K113" s="303"/>
      <c r="L113" s="384"/>
      <c r="M113" s="682"/>
      <c r="N113" s="686"/>
      <c r="O113" s="687"/>
      <c r="P113" s="134"/>
      <c r="Q113" s="304"/>
      <c r="R113" s="304"/>
      <c r="S113" s="303"/>
      <c r="T113" s="385"/>
      <c r="U113" s="304"/>
      <c r="V113" s="304"/>
      <c r="W113" s="303"/>
      <c r="Y113" s="118"/>
      <c r="Z113" s="119"/>
      <c r="AA113" s="118"/>
      <c r="AB113" s="118"/>
    </row>
    <row r="114" spans="2:28" s="104" customFormat="1" ht="15" customHeight="1" x14ac:dyDescent="0.25">
      <c r="B114" s="443" t="s">
        <v>493</v>
      </c>
      <c r="C114" s="388" t="s">
        <v>469</v>
      </c>
      <c r="D114" s="380" t="s">
        <v>102</v>
      </c>
      <c r="E114" s="381">
        <v>400.33</v>
      </c>
      <c r="F114" s="382">
        <v>7.85</v>
      </c>
      <c r="G114" s="305">
        <f t="shared" ref="G114:G117" si="132">ROUND(E114*F114,2)</f>
        <v>3142.59</v>
      </c>
      <c r="H114" s="142"/>
      <c r="I114" s="301"/>
      <c r="J114" s="302">
        <v>0</v>
      </c>
      <c r="K114" s="303">
        <v>0</v>
      </c>
      <c r="L114" s="384"/>
      <c r="M114" s="682">
        <f>+E114</f>
        <v>400.33</v>
      </c>
      <c r="N114" s="683">
        <f t="shared" ref="N114:N117" si="133">ROUND(M114*$F114,2)</f>
        <v>3142.59</v>
      </c>
      <c r="O114" s="684">
        <f t="shared" ref="O114:O117" si="134">ROUND(N114/$G114,4)</f>
        <v>1</v>
      </c>
      <c r="P114" s="134"/>
      <c r="Q114" s="149">
        <f t="shared" ref="Q114:S117" si="135">+I114+M114</f>
        <v>400.33</v>
      </c>
      <c r="R114" s="149">
        <f t="shared" si="135"/>
        <v>3142.59</v>
      </c>
      <c r="S114" s="145">
        <f t="shared" si="135"/>
        <v>1</v>
      </c>
      <c r="T114" s="385"/>
      <c r="U114" s="149">
        <f t="shared" ref="U114:U117" si="136">+E114-Q114</f>
        <v>0</v>
      </c>
      <c r="V114" s="149">
        <f t="shared" ref="V114:V117" si="137">+G114-R114</f>
        <v>0</v>
      </c>
      <c r="W114" s="145">
        <f t="shared" ref="W114:W117" si="138">1-S114</f>
        <v>0</v>
      </c>
      <c r="Y114" s="118"/>
      <c r="Z114" s="119"/>
      <c r="AA114" s="118"/>
      <c r="AB114" s="118"/>
    </row>
    <row r="115" spans="2:28" s="104" customFormat="1" ht="15" customHeight="1" x14ac:dyDescent="0.25">
      <c r="B115" s="443" t="s">
        <v>494</v>
      </c>
      <c r="C115" s="388" t="s">
        <v>495</v>
      </c>
      <c r="D115" s="380" t="s">
        <v>101</v>
      </c>
      <c r="E115" s="381">
        <v>14.88</v>
      </c>
      <c r="F115" s="382">
        <v>73.97</v>
      </c>
      <c r="G115" s="305">
        <f t="shared" si="132"/>
        <v>1100.67</v>
      </c>
      <c r="H115" s="142"/>
      <c r="I115" s="301"/>
      <c r="J115" s="302">
        <v>0</v>
      </c>
      <c r="K115" s="303">
        <v>0</v>
      </c>
      <c r="L115" s="384"/>
      <c r="M115" s="682">
        <f t="shared" ref="M115:M117" si="139">+E115</f>
        <v>14.88</v>
      </c>
      <c r="N115" s="683">
        <f t="shared" si="133"/>
        <v>1100.67</v>
      </c>
      <c r="O115" s="684">
        <f t="shared" si="134"/>
        <v>1</v>
      </c>
      <c r="P115" s="134"/>
      <c r="Q115" s="149">
        <f t="shared" si="135"/>
        <v>14.88</v>
      </c>
      <c r="R115" s="149">
        <f t="shared" si="135"/>
        <v>1100.67</v>
      </c>
      <c r="S115" s="145">
        <f t="shared" si="135"/>
        <v>1</v>
      </c>
      <c r="T115" s="385"/>
      <c r="U115" s="149">
        <f t="shared" si="136"/>
        <v>0</v>
      </c>
      <c r="V115" s="149">
        <f t="shared" si="137"/>
        <v>0</v>
      </c>
      <c r="W115" s="145">
        <f t="shared" si="138"/>
        <v>0</v>
      </c>
      <c r="Y115" s="118"/>
      <c r="Z115" s="119"/>
      <c r="AA115" s="118"/>
      <c r="AB115" s="118"/>
    </row>
    <row r="116" spans="2:28" s="104" customFormat="1" ht="15" customHeight="1" x14ac:dyDescent="0.25">
      <c r="B116" s="443" t="s">
        <v>496</v>
      </c>
      <c r="C116" s="388" t="s">
        <v>497</v>
      </c>
      <c r="D116" s="380" t="s">
        <v>234</v>
      </c>
      <c r="E116" s="381">
        <v>6.01</v>
      </c>
      <c r="F116" s="382">
        <v>630.15</v>
      </c>
      <c r="G116" s="305">
        <f t="shared" si="132"/>
        <v>3787.2</v>
      </c>
      <c r="H116" s="142"/>
      <c r="I116" s="301"/>
      <c r="J116" s="302">
        <v>0</v>
      </c>
      <c r="K116" s="303">
        <v>0</v>
      </c>
      <c r="L116" s="384"/>
      <c r="M116" s="682">
        <f t="shared" si="139"/>
        <v>6.01</v>
      </c>
      <c r="N116" s="683">
        <f t="shared" si="133"/>
        <v>3787.2</v>
      </c>
      <c r="O116" s="684">
        <f t="shared" si="134"/>
        <v>1</v>
      </c>
      <c r="P116" s="134"/>
      <c r="Q116" s="149">
        <f t="shared" si="135"/>
        <v>6.01</v>
      </c>
      <c r="R116" s="149">
        <f t="shared" si="135"/>
        <v>3787.2</v>
      </c>
      <c r="S116" s="145">
        <f t="shared" si="135"/>
        <v>1</v>
      </c>
      <c r="T116" s="385"/>
      <c r="U116" s="149">
        <f t="shared" si="136"/>
        <v>0</v>
      </c>
      <c r="V116" s="149">
        <f t="shared" si="137"/>
        <v>0</v>
      </c>
      <c r="W116" s="145">
        <f t="shared" si="138"/>
        <v>0</v>
      </c>
      <c r="Y116" s="118"/>
      <c r="Z116" s="119"/>
      <c r="AA116" s="118"/>
      <c r="AB116" s="118"/>
    </row>
    <row r="117" spans="2:28" s="104" customFormat="1" ht="15" customHeight="1" x14ac:dyDescent="0.25">
      <c r="B117" s="443" t="s">
        <v>498</v>
      </c>
      <c r="C117" s="388" t="s">
        <v>409</v>
      </c>
      <c r="D117" s="380" t="s">
        <v>101</v>
      </c>
      <c r="E117" s="381">
        <v>20.079999999999998</v>
      </c>
      <c r="F117" s="382">
        <v>2.92</v>
      </c>
      <c r="G117" s="305">
        <f t="shared" si="132"/>
        <v>58.63</v>
      </c>
      <c r="H117" s="142"/>
      <c r="I117" s="301"/>
      <c r="J117" s="302">
        <v>0</v>
      </c>
      <c r="K117" s="303">
        <v>0</v>
      </c>
      <c r="L117" s="384"/>
      <c r="M117" s="682">
        <f t="shared" si="139"/>
        <v>20.079999999999998</v>
      </c>
      <c r="N117" s="683">
        <f t="shared" si="133"/>
        <v>58.63</v>
      </c>
      <c r="O117" s="684">
        <f t="shared" si="134"/>
        <v>1</v>
      </c>
      <c r="P117" s="134"/>
      <c r="Q117" s="149">
        <f t="shared" si="135"/>
        <v>20.079999999999998</v>
      </c>
      <c r="R117" s="149">
        <f t="shared" si="135"/>
        <v>58.63</v>
      </c>
      <c r="S117" s="145">
        <f t="shared" si="135"/>
        <v>1</v>
      </c>
      <c r="T117" s="385"/>
      <c r="U117" s="149">
        <f t="shared" si="136"/>
        <v>0</v>
      </c>
      <c r="V117" s="149">
        <f t="shared" si="137"/>
        <v>0</v>
      </c>
      <c r="W117" s="145">
        <f t="shared" si="138"/>
        <v>0</v>
      </c>
      <c r="Y117" s="118"/>
      <c r="Z117" s="119"/>
      <c r="AA117" s="118"/>
      <c r="AB117" s="118"/>
    </row>
    <row r="118" spans="2:28" s="104" customFormat="1" ht="15" customHeight="1" x14ac:dyDescent="0.25">
      <c r="B118" s="444" t="s">
        <v>499</v>
      </c>
      <c r="C118" s="400" t="s">
        <v>500</v>
      </c>
      <c r="D118" s="401"/>
      <c r="E118" s="402"/>
      <c r="F118" s="403"/>
      <c r="G118" s="306"/>
      <c r="H118" s="142"/>
      <c r="I118" s="301"/>
      <c r="J118" s="302"/>
      <c r="K118" s="303"/>
      <c r="L118" s="384"/>
      <c r="M118" s="682"/>
      <c r="N118" s="686"/>
      <c r="O118" s="687"/>
      <c r="P118" s="134"/>
      <c r="Q118" s="304"/>
      <c r="R118" s="304"/>
      <c r="S118" s="303"/>
      <c r="T118" s="385"/>
      <c r="U118" s="304"/>
      <c r="V118" s="304"/>
      <c r="W118" s="303"/>
      <c r="Y118" s="118"/>
      <c r="Z118" s="119"/>
      <c r="AA118" s="118"/>
      <c r="AB118" s="118"/>
    </row>
    <row r="119" spans="2:28" s="104" customFormat="1" ht="15" customHeight="1" x14ac:dyDescent="0.25">
      <c r="B119" s="443" t="s">
        <v>501</v>
      </c>
      <c r="C119" s="388" t="s">
        <v>469</v>
      </c>
      <c r="D119" s="380" t="s">
        <v>102</v>
      </c>
      <c r="E119" s="381">
        <v>175.55</v>
      </c>
      <c r="F119" s="382">
        <v>7.85</v>
      </c>
      <c r="G119" s="305">
        <f t="shared" ref="G119:G122" si="140">ROUND(E119*F119,2)</f>
        <v>1378.07</v>
      </c>
      <c r="H119" s="142"/>
      <c r="I119" s="301"/>
      <c r="J119" s="302">
        <v>0</v>
      </c>
      <c r="K119" s="303">
        <v>0</v>
      </c>
      <c r="L119" s="384"/>
      <c r="M119" s="682">
        <f>+E119</f>
        <v>175.55</v>
      </c>
      <c r="N119" s="683">
        <f t="shared" ref="N119:N122" si="141">ROUND(M119*$F119,2)</f>
        <v>1378.07</v>
      </c>
      <c r="O119" s="684">
        <f t="shared" ref="O119:O122" si="142">ROUND(N119/$G119,4)</f>
        <v>1</v>
      </c>
      <c r="P119" s="134"/>
      <c r="Q119" s="149">
        <f t="shared" ref="Q119:S122" si="143">+I119+M119</f>
        <v>175.55</v>
      </c>
      <c r="R119" s="149">
        <f t="shared" si="143"/>
        <v>1378.07</v>
      </c>
      <c r="S119" s="145">
        <f t="shared" si="143"/>
        <v>1</v>
      </c>
      <c r="T119" s="385"/>
      <c r="U119" s="149">
        <f t="shared" ref="U119:U122" si="144">+E119-Q119</f>
        <v>0</v>
      </c>
      <c r="V119" s="149">
        <f t="shared" ref="V119:V122" si="145">+G119-R119</f>
        <v>0</v>
      </c>
      <c r="W119" s="145">
        <f t="shared" ref="W119:W122" si="146">1-S119</f>
        <v>0</v>
      </c>
      <c r="Y119" s="118"/>
      <c r="Z119" s="119"/>
      <c r="AA119" s="118"/>
      <c r="AB119" s="118"/>
    </row>
    <row r="120" spans="2:28" s="104" customFormat="1" ht="15" customHeight="1" x14ac:dyDescent="0.25">
      <c r="B120" s="443" t="s">
        <v>502</v>
      </c>
      <c r="C120" s="388" t="s">
        <v>503</v>
      </c>
      <c r="D120" s="380" t="s">
        <v>101</v>
      </c>
      <c r="E120" s="381">
        <v>53.48</v>
      </c>
      <c r="F120" s="382">
        <v>73.97</v>
      </c>
      <c r="G120" s="305">
        <f t="shared" si="140"/>
        <v>3955.92</v>
      </c>
      <c r="H120" s="142"/>
      <c r="I120" s="301"/>
      <c r="J120" s="302">
        <v>0</v>
      </c>
      <c r="K120" s="303">
        <v>0</v>
      </c>
      <c r="L120" s="384"/>
      <c r="M120" s="682">
        <f t="shared" ref="M120:M122" si="147">+E120</f>
        <v>53.48</v>
      </c>
      <c r="N120" s="683">
        <f t="shared" si="141"/>
        <v>3955.92</v>
      </c>
      <c r="O120" s="684">
        <f t="shared" si="142"/>
        <v>1</v>
      </c>
      <c r="P120" s="134"/>
      <c r="Q120" s="149">
        <f t="shared" si="143"/>
        <v>53.48</v>
      </c>
      <c r="R120" s="149">
        <f t="shared" si="143"/>
        <v>3955.92</v>
      </c>
      <c r="S120" s="145">
        <f t="shared" si="143"/>
        <v>1</v>
      </c>
      <c r="T120" s="385"/>
      <c r="U120" s="149">
        <f t="shared" si="144"/>
        <v>0</v>
      </c>
      <c r="V120" s="149">
        <f t="shared" si="145"/>
        <v>0</v>
      </c>
      <c r="W120" s="145">
        <f t="shared" si="146"/>
        <v>0</v>
      </c>
      <c r="Y120" s="118"/>
      <c r="Z120" s="119"/>
      <c r="AA120" s="118"/>
      <c r="AB120" s="118"/>
    </row>
    <row r="121" spans="2:28" s="104" customFormat="1" ht="15" customHeight="1" x14ac:dyDescent="0.25">
      <c r="B121" s="443" t="s">
        <v>504</v>
      </c>
      <c r="C121" s="388" t="s">
        <v>505</v>
      </c>
      <c r="D121" s="380" t="s">
        <v>234</v>
      </c>
      <c r="E121" s="381">
        <v>3.82</v>
      </c>
      <c r="F121" s="382">
        <v>630.15</v>
      </c>
      <c r="G121" s="305">
        <f t="shared" si="140"/>
        <v>2407.17</v>
      </c>
      <c r="H121" s="142"/>
      <c r="I121" s="301"/>
      <c r="J121" s="302">
        <v>0</v>
      </c>
      <c r="K121" s="303">
        <v>0</v>
      </c>
      <c r="L121" s="384"/>
      <c r="M121" s="682">
        <f t="shared" si="147"/>
        <v>3.82</v>
      </c>
      <c r="N121" s="683">
        <f t="shared" si="141"/>
        <v>2407.17</v>
      </c>
      <c r="O121" s="684">
        <f t="shared" si="142"/>
        <v>1</v>
      </c>
      <c r="P121" s="134"/>
      <c r="Q121" s="149">
        <f t="shared" si="143"/>
        <v>3.82</v>
      </c>
      <c r="R121" s="149">
        <f t="shared" si="143"/>
        <v>2407.17</v>
      </c>
      <c r="S121" s="145">
        <f t="shared" si="143"/>
        <v>1</v>
      </c>
      <c r="T121" s="385"/>
      <c r="U121" s="149">
        <f t="shared" si="144"/>
        <v>0</v>
      </c>
      <c r="V121" s="149">
        <f t="shared" si="145"/>
        <v>0</v>
      </c>
      <c r="W121" s="145">
        <f t="shared" si="146"/>
        <v>0</v>
      </c>
      <c r="Y121" s="118"/>
      <c r="Z121" s="119"/>
      <c r="AA121" s="118"/>
      <c r="AB121" s="118"/>
    </row>
    <row r="122" spans="2:28" s="104" customFormat="1" ht="15" customHeight="1" x14ac:dyDescent="0.25">
      <c r="B122" s="443" t="s">
        <v>506</v>
      </c>
      <c r="C122" s="388" t="s">
        <v>409</v>
      </c>
      <c r="D122" s="380" t="s">
        <v>101</v>
      </c>
      <c r="E122" s="381">
        <v>50.96</v>
      </c>
      <c r="F122" s="382">
        <v>2.92</v>
      </c>
      <c r="G122" s="305">
        <f t="shared" si="140"/>
        <v>148.80000000000001</v>
      </c>
      <c r="H122" s="142"/>
      <c r="I122" s="301"/>
      <c r="J122" s="302">
        <v>0</v>
      </c>
      <c r="K122" s="303">
        <v>0</v>
      </c>
      <c r="L122" s="384"/>
      <c r="M122" s="682">
        <f t="shared" si="147"/>
        <v>50.96</v>
      </c>
      <c r="N122" s="683">
        <f t="shared" si="141"/>
        <v>148.80000000000001</v>
      </c>
      <c r="O122" s="684">
        <f t="shared" si="142"/>
        <v>1</v>
      </c>
      <c r="P122" s="134"/>
      <c r="Q122" s="149">
        <f t="shared" si="143"/>
        <v>50.96</v>
      </c>
      <c r="R122" s="149">
        <f t="shared" si="143"/>
        <v>148.80000000000001</v>
      </c>
      <c r="S122" s="145">
        <f t="shared" si="143"/>
        <v>1</v>
      </c>
      <c r="T122" s="385"/>
      <c r="U122" s="149">
        <f t="shared" si="144"/>
        <v>0</v>
      </c>
      <c r="V122" s="149">
        <f t="shared" si="145"/>
        <v>0</v>
      </c>
      <c r="W122" s="145">
        <f t="shared" si="146"/>
        <v>0</v>
      </c>
      <c r="Y122" s="118"/>
      <c r="Z122" s="119"/>
      <c r="AA122" s="118"/>
      <c r="AB122" s="118"/>
    </row>
    <row r="123" spans="2:28" s="104" customFormat="1" ht="15" customHeight="1" x14ac:dyDescent="0.25">
      <c r="B123" s="441" t="s">
        <v>507</v>
      </c>
      <c r="C123" s="404" t="s">
        <v>508</v>
      </c>
      <c r="D123" s="405"/>
      <c r="E123" s="406"/>
      <c r="F123" s="407"/>
      <c r="G123" s="306"/>
      <c r="H123" s="142"/>
      <c r="I123" s="301"/>
      <c r="J123" s="302"/>
      <c r="K123" s="303"/>
      <c r="L123" s="384"/>
      <c r="M123" s="685"/>
      <c r="N123" s="686"/>
      <c r="O123" s="687"/>
      <c r="P123" s="134"/>
      <c r="Q123" s="304"/>
      <c r="R123" s="304"/>
      <c r="S123" s="303"/>
      <c r="T123" s="385"/>
      <c r="U123" s="304"/>
      <c r="V123" s="304"/>
      <c r="W123" s="303"/>
      <c r="Y123" s="118"/>
      <c r="Z123" s="119"/>
      <c r="AA123" s="118"/>
      <c r="AB123" s="118"/>
    </row>
    <row r="124" spans="2:28" s="104" customFormat="1" ht="15" customHeight="1" x14ac:dyDescent="0.25">
      <c r="B124" s="442" t="s">
        <v>509</v>
      </c>
      <c r="C124" s="387" t="s">
        <v>226</v>
      </c>
      <c r="D124" s="390"/>
      <c r="E124" s="391"/>
      <c r="F124" s="392"/>
      <c r="G124" s="306"/>
      <c r="H124" s="142"/>
      <c r="I124" s="301"/>
      <c r="J124" s="302"/>
      <c r="K124" s="303"/>
      <c r="L124" s="384"/>
      <c r="M124" s="685"/>
      <c r="N124" s="686"/>
      <c r="O124" s="687"/>
      <c r="P124" s="134"/>
      <c r="Q124" s="304"/>
      <c r="R124" s="304"/>
      <c r="S124" s="303"/>
      <c r="T124" s="385"/>
      <c r="U124" s="304"/>
      <c r="V124" s="304"/>
      <c r="W124" s="303"/>
      <c r="Y124" s="118"/>
      <c r="Z124" s="119"/>
      <c r="AA124" s="118"/>
      <c r="AB124" s="118"/>
    </row>
    <row r="125" spans="2:28" s="104" customFormat="1" ht="15" customHeight="1" x14ac:dyDescent="0.25">
      <c r="B125" s="443" t="s">
        <v>510</v>
      </c>
      <c r="C125" s="388" t="s">
        <v>511</v>
      </c>
      <c r="D125" s="380" t="s">
        <v>234</v>
      </c>
      <c r="E125" s="381">
        <v>7.58</v>
      </c>
      <c r="F125" s="382">
        <v>63.47</v>
      </c>
      <c r="G125" s="305">
        <f t="shared" ref="G125:G129" si="148">ROUND(E125*F125,2)</f>
        <v>481.1</v>
      </c>
      <c r="H125" s="142"/>
      <c r="I125" s="301">
        <v>7.58</v>
      </c>
      <c r="J125" s="302">
        <v>481.1</v>
      </c>
      <c r="K125" s="303">
        <v>1</v>
      </c>
      <c r="L125" s="384"/>
      <c r="M125" s="682"/>
      <c r="N125" s="683">
        <f t="shared" ref="N125:N129" si="149">ROUND(M125*$F125,2)</f>
        <v>0</v>
      </c>
      <c r="O125" s="684">
        <f t="shared" ref="O125:O129" si="150">ROUND(N125/$G125,4)</f>
        <v>0</v>
      </c>
      <c r="P125" s="134"/>
      <c r="Q125" s="149">
        <f t="shared" ref="Q125:S129" si="151">+I125+M125</f>
        <v>7.58</v>
      </c>
      <c r="R125" s="149">
        <f t="shared" si="151"/>
        <v>481.1</v>
      </c>
      <c r="S125" s="145">
        <f t="shared" si="151"/>
        <v>1</v>
      </c>
      <c r="T125" s="385"/>
      <c r="U125" s="149">
        <f t="shared" ref="U125:U129" si="152">+E125-Q125</f>
        <v>0</v>
      </c>
      <c r="V125" s="149">
        <f t="shared" ref="V125:V129" si="153">+G125-R125</f>
        <v>0</v>
      </c>
      <c r="W125" s="145">
        <f t="shared" ref="W125:W129" si="154">1-S125</f>
        <v>0</v>
      </c>
      <c r="Y125" s="118"/>
      <c r="Z125" s="119"/>
      <c r="AA125" s="118"/>
      <c r="AB125" s="118"/>
    </row>
    <row r="126" spans="2:28" s="104" customFormat="1" ht="15" customHeight="1" x14ac:dyDescent="0.25">
      <c r="B126" s="443" t="s">
        <v>512</v>
      </c>
      <c r="C126" s="388" t="s">
        <v>513</v>
      </c>
      <c r="D126" s="380" t="s">
        <v>234</v>
      </c>
      <c r="E126" s="381">
        <v>1.8</v>
      </c>
      <c r="F126" s="382">
        <v>83.65</v>
      </c>
      <c r="G126" s="305">
        <f t="shared" si="148"/>
        <v>150.57</v>
      </c>
      <c r="H126" s="142"/>
      <c r="I126" s="301">
        <v>1.8</v>
      </c>
      <c r="J126" s="302">
        <v>150.57</v>
      </c>
      <c r="K126" s="303">
        <v>1</v>
      </c>
      <c r="L126" s="384"/>
      <c r="M126" s="682"/>
      <c r="N126" s="683">
        <f t="shared" si="149"/>
        <v>0</v>
      </c>
      <c r="O126" s="684">
        <f t="shared" si="150"/>
        <v>0</v>
      </c>
      <c r="P126" s="134"/>
      <c r="Q126" s="149">
        <f t="shared" si="151"/>
        <v>1.8</v>
      </c>
      <c r="R126" s="149">
        <f t="shared" si="151"/>
        <v>150.57</v>
      </c>
      <c r="S126" s="145">
        <f t="shared" si="151"/>
        <v>1</v>
      </c>
      <c r="T126" s="385"/>
      <c r="U126" s="149">
        <f t="shared" si="152"/>
        <v>0</v>
      </c>
      <c r="V126" s="149">
        <f t="shared" si="153"/>
        <v>0</v>
      </c>
      <c r="W126" s="145">
        <f t="shared" si="154"/>
        <v>0</v>
      </c>
      <c r="Y126" s="118"/>
      <c r="Z126" s="119"/>
      <c r="AA126" s="118"/>
      <c r="AB126" s="118"/>
    </row>
    <row r="127" spans="2:28" s="104" customFormat="1" ht="15" customHeight="1" x14ac:dyDescent="0.25">
      <c r="B127" s="443" t="s">
        <v>514</v>
      </c>
      <c r="C127" s="388" t="s">
        <v>515</v>
      </c>
      <c r="D127" s="380" t="s">
        <v>101</v>
      </c>
      <c r="E127" s="381">
        <v>21.66</v>
      </c>
      <c r="F127" s="382">
        <v>4.6500000000000004</v>
      </c>
      <c r="G127" s="305">
        <f t="shared" si="148"/>
        <v>100.72</v>
      </c>
      <c r="H127" s="142"/>
      <c r="I127" s="301">
        <v>21.66</v>
      </c>
      <c r="J127" s="302">
        <v>100.72</v>
      </c>
      <c r="K127" s="303">
        <v>1</v>
      </c>
      <c r="L127" s="384"/>
      <c r="M127" s="682"/>
      <c r="N127" s="683">
        <f t="shared" si="149"/>
        <v>0</v>
      </c>
      <c r="O127" s="684">
        <f t="shared" si="150"/>
        <v>0</v>
      </c>
      <c r="P127" s="134"/>
      <c r="Q127" s="149">
        <f t="shared" si="151"/>
        <v>21.66</v>
      </c>
      <c r="R127" s="149">
        <f t="shared" si="151"/>
        <v>100.72</v>
      </c>
      <c r="S127" s="145">
        <f t="shared" si="151"/>
        <v>1</v>
      </c>
      <c r="T127" s="385"/>
      <c r="U127" s="149">
        <f t="shared" si="152"/>
        <v>0</v>
      </c>
      <c r="V127" s="149">
        <f t="shared" si="153"/>
        <v>0</v>
      </c>
      <c r="W127" s="145">
        <f t="shared" si="154"/>
        <v>0</v>
      </c>
      <c r="Y127" s="118"/>
      <c r="Z127" s="119"/>
      <c r="AA127" s="118"/>
      <c r="AB127" s="118"/>
    </row>
    <row r="128" spans="2:28" s="104" customFormat="1" ht="15" customHeight="1" x14ac:dyDescent="0.25">
      <c r="B128" s="443" t="s">
        <v>516</v>
      </c>
      <c r="C128" s="389" t="s">
        <v>349</v>
      </c>
      <c r="D128" s="380" t="s">
        <v>234</v>
      </c>
      <c r="E128" s="381">
        <v>9.48</v>
      </c>
      <c r="F128" s="382">
        <v>18.98</v>
      </c>
      <c r="G128" s="305">
        <f t="shared" si="148"/>
        <v>179.93</v>
      </c>
      <c r="H128" s="142"/>
      <c r="I128" s="301">
        <v>9.48</v>
      </c>
      <c r="J128" s="302">
        <v>179.93</v>
      </c>
      <c r="K128" s="303">
        <v>1</v>
      </c>
      <c r="L128" s="384"/>
      <c r="M128" s="682"/>
      <c r="N128" s="683">
        <f t="shared" si="149"/>
        <v>0</v>
      </c>
      <c r="O128" s="684">
        <f t="shared" si="150"/>
        <v>0</v>
      </c>
      <c r="P128" s="134"/>
      <c r="Q128" s="149">
        <f t="shared" si="151"/>
        <v>9.48</v>
      </c>
      <c r="R128" s="149">
        <f t="shared" si="151"/>
        <v>179.93</v>
      </c>
      <c r="S128" s="145">
        <f t="shared" si="151"/>
        <v>1</v>
      </c>
      <c r="T128" s="385"/>
      <c r="U128" s="149">
        <f t="shared" si="152"/>
        <v>0</v>
      </c>
      <c r="V128" s="149">
        <f t="shared" si="153"/>
        <v>0</v>
      </c>
      <c r="W128" s="145">
        <f t="shared" si="154"/>
        <v>0</v>
      </c>
      <c r="Y128" s="118"/>
      <c r="Z128" s="119"/>
      <c r="AA128" s="118"/>
      <c r="AB128" s="118"/>
    </row>
    <row r="129" spans="2:28" s="104" customFormat="1" ht="15" customHeight="1" x14ac:dyDescent="0.25">
      <c r="B129" s="443" t="s">
        <v>517</v>
      </c>
      <c r="C129" s="389" t="s">
        <v>518</v>
      </c>
      <c r="D129" s="380" t="s">
        <v>101</v>
      </c>
      <c r="E129" s="381">
        <v>21.66</v>
      </c>
      <c r="F129" s="382">
        <v>60.87</v>
      </c>
      <c r="G129" s="305">
        <f t="shared" si="148"/>
        <v>1318.44</v>
      </c>
      <c r="H129" s="142"/>
      <c r="I129" s="301">
        <v>21.66</v>
      </c>
      <c r="J129" s="302">
        <v>1318.44</v>
      </c>
      <c r="K129" s="303">
        <v>1</v>
      </c>
      <c r="L129" s="384"/>
      <c r="M129" s="682"/>
      <c r="N129" s="683">
        <f t="shared" si="149"/>
        <v>0</v>
      </c>
      <c r="O129" s="684">
        <f t="shared" si="150"/>
        <v>0</v>
      </c>
      <c r="P129" s="134"/>
      <c r="Q129" s="149">
        <f t="shared" si="151"/>
        <v>21.66</v>
      </c>
      <c r="R129" s="149">
        <f t="shared" si="151"/>
        <v>1318.44</v>
      </c>
      <c r="S129" s="145">
        <f t="shared" si="151"/>
        <v>1</v>
      </c>
      <c r="T129" s="385"/>
      <c r="U129" s="149">
        <f t="shared" si="152"/>
        <v>0</v>
      </c>
      <c r="V129" s="149">
        <f t="shared" si="153"/>
        <v>0</v>
      </c>
      <c r="W129" s="145">
        <f t="shared" si="154"/>
        <v>0</v>
      </c>
      <c r="Y129" s="118"/>
      <c r="Z129" s="119"/>
      <c r="AA129" s="118"/>
      <c r="AB129" s="118"/>
    </row>
    <row r="130" spans="2:28" s="104" customFormat="1" ht="15" customHeight="1" x14ac:dyDescent="0.25">
      <c r="B130" s="442" t="s">
        <v>519</v>
      </c>
      <c r="C130" s="399" t="s">
        <v>227</v>
      </c>
      <c r="D130" s="390"/>
      <c r="E130" s="391"/>
      <c r="F130" s="392"/>
      <c r="G130" s="306"/>
      <c r="H130" s="142"/>
      <c r="I130" s="301"/>
      <c r="J130" s="302"/>
      <c r="K130" s="303"/>
      <c r="L130" s="384"/>
      <c r="M130" s="685"/>
      <c r="N130" s="686"/>
      <c r="O130" s="687"/>
      <c r="P130" s="134"/>
      <c r="Q130" s="304"/>
      <c r="R130" s="304"/>
      <c r="S130" s="303"/>
      <c r="T130" s="385"/>
      <c r="U130" s="304"/>
      <c r="V130" s="304"/>
      <c r="W130" s="303"/>
      <c r="Y130" s="118"/>
      <c r="Z130" s="119"/>
      <c r="AA130" s="118"/>
      <c r="AB130" s="118"/>
    </row>
    <row r="131" spans="2:28" s="104" customFormat="1" ht="15" customHeight="1" x14ac:dyDescent="0.25">
      <c r="B131" s="443" t="s">
        <v>520</v>
      </c>
      <c r="C131" s="388" t="s">
        <v>521</v>
      </c>
      <c r="D131" s="380" t="s">
        <v>234</v>
      </c>
      <c r="E131" s="381">
        <v>6.75</v>
      </c>
      <c r="F131" s="382">
        <v>485.73</v>
      </c>
      <c r="G131" s="305">
        <f t="shared" ref="G131:G133" si="155">ROUND(E131*F131,2)</f>
        <v>3278.68</v>
      </c>
      <c r="H131" s="142"/>
      <c r="I131" s="301"/>
      <c r="J131" s="302">
        <v>0</v>
      </c>
      <c r="K131" s="303">
        <v>0</v>
      </c>
      <c r="L131" s="384"/>
      <c r="M131" s="682">
        <f>+E131</f>
        <v>6.75</v>
      </c>
      <c r="N131" s="683">
        <f t="shared" ref="N131:N133" si="156">ROUND(M131*$F131,2)</f>
        <v>3278.68</v>
      </c>
      <c r="O131" s="684">
        <f t="shared" ref="O131:O133" si="157">ROUND(N131/$G131,4)</f>
        <v>1</v>
      </c>
      <c r="P131" s="134"/>
      <c r="Q131" s="149">
        <f t="shared" ref="Q131:S133" si="158">+I131+M131</f>
        <v>6.75</v>
      </c>
      <c r="R131" s="149">
        <f t="shared" si="158"/>
        <v>3278.68</v>
      </c>
      <c r="S131" s="145">
        <f t="shared" si="158"/>
        <v>1</v>
      </c>
      <c r="T131" s="385"/>
      <c r="U131" s="149">
        <f t="shared" ref="U131:U133" si="159">+E131-Q131</f>
        <v>0</v>
      </c>
      <c r="V131" s="149">
        <f t="shared" ref="V131:V133" si="160">+G131-R131</f>
        <v>0</v>
      </c>
      <c r="W131" s="145">
        <f t="shared" ref="W131:W133" si="161">1-S131</f>
        <v>0</v>
      </c>
      <c r="Y131" s="118"/>
      <c r="Z131" s="119"/>
      <c r="AA131" s="118"/>
      <c r="AB131" s="118"/>
    </row>
    <row r="132" spans="2:28" s="104" customFormat="1" ht="15" customHeight="1" x14ac:dyDescent="0.25">
      <c r="B132" s="443" t="s">
        <v>522</v>
      </c>
      <c r="C132" s="388" t="s">
        <v>523</v>
      </c>
      <c r="D132" s="380" t="s">
        <v>101</v>
      </c>
      <c r="E132" s="381">
        <v>5.78</v>
      </c>
      <c r="F132" s="382">
        <v>74.11</v>
      </c>
      <c r="G132" s="305">
        <f t="shared" si="155"/>
        <v>428.36</v>
      </c>
      <c r="H132" s="142"/>
      <c r="I132" s="301"/>
      <c r="J132" s="302">
        <v>0</v>
      </c>
      <c r="K132" s="303">
        <v>0</v>
      </c>
      <c r="L132" s="384"/>
      <c r="M132" s="682">
        <f t="shared" ref="M132:M133" si="162">+E132</f>
        <v>5.78</v>
      </c>
      <c r="N132" s="683">
        <f t="shared" si="156"/>
        <v>428.36</v>
      </c>
      <c r="O132" s="684">
        <f t="shared" si="157"/>
        <v>1</v>
      </c>
      <c r="P132" s="134"/>
      <c r="Q132" s="149">
        <f t="shared" si="158"/>
        <v>5.78</v>
      </c>
      <c r="R132" s="149">
        <f t="shared" si="158"/>
        <v>428.36</v>
      </c>
      <c r="S132" s="145">
        <f t="shared" si="158"/>
        <v>1</v>
      </c>
      <c r="T132" s="385"/>
      <c r="U132" s="149">
        <f t="shared" si="159"/>
        <v>0</v>
      </c>
      <c r="V132" s="149">
        <f t="shared" si="160"/>
        <v>0</v>
      </c>
      <c r="W132" s="145">
        <f t="shared" si="161"/>
        <v>0</v>
      </c>
      <c r="Y132" s="118"/>
      <c r="Z132" s="119"/>
      <c r="AA132" s="118"/>
      <c r="AB132" s="118"/>
    </row>
    <row r="133" spans="2:28" s="104" customFormat="1" ht="15" customHeight="1" x14ac:dyDescent="0.25">
      <c r="B133" s="443" t="s">
        <v>524</v>
      </c>
      <c r="C133" s="388" t="s">
        <v>525</v>
      </c>
      <c r="D133" s="380" t="s">
        <v>101</v>
      </c>
      <c r="E133" s="381">
        <v>21.66</v>
      </c>
      <c r="F133" s="382">
        <v>2.92</v>
      </c>
      <c r="G133" s="305">
        <f t="shared" si="155"/>
        <v>63.25</v>
      </c>
      <c r="H133" s="142"/>
      <c r="I133" s="301"/>
      <c r="J133" s="302">
        <v>0</v>
      </c>
      <c r="K133" s="303">
        <v>0</v>
      </c>
      <c r="L133" s="384"/>
      <c r="M133" s="682">
        <f t="shared" si="162"/>
        <v>21.66</v>
      </c>
      <c r="N133" s="683">
        <f t="shared" si="156"/>
        <v>63.25</v>
      </c>
      <c r="O133" s="684">
        <f t="shared" si="157"/>
        <v>1</v>
      </c>
      <c r="P133" s="134"/>
      <c r="Q133" s="149">
        <f t="shared" si="158"/>
        <v>21.66</v>
      </c>
      <c r="R133" s="149">
        <f t="shared" si="158"/>
        <v>63.25</v>
      </c>
      <c r="S133" s="145">
        <f t="shared" si="158"/>
        <v>1</v>
      </c>
      <c r="T133" s="385"/>
      <c r="U133" s="149">
        <f t="shared" si="159"/>
        <v>0</v>
      </c>
      <c r="V133" s="149">
        <f t="shared" si="160"/>
        <v>0</v>
      </c>
      <c r="W133" s="145">
        <f t="shared" si="161"/>
        <v>0</v>
      </c>
      <c r="Y133" s="118"/>
      <c r="Z133" s="119"/>
      <c r="AA133" s="118"/>
      <c r="AB133" s="118"/>
    </row>
    <row r="134" spans="2:28" s="104" customFormat="1" ht="15" customHeight="1" x14ac:dyDescent="0.25">
      <c r="B134" s="441" t="s">
        <v>526</v>
      </c>
      <c r="C134" s="404" t="s">
        <v>527</v>
      </c>
      <c r="D134" s="393"/>
      <c r="E134" s="394"/>
      <c r="F134" s="395"/>
      <c r="G134" s="306"/>
      <c r="H134" s="142"/>
      <c r="I134" s="301"/>
      <c r="J134" s="302"/>
      <c r="K134" s="303"/>
      <c r="L134" s="384"/>
      <c r="M134" s="685"/>
      <c r="N134" s="686"/>
      <c r="O134" s="687"/>
      <c r="P134" s="134"/>
      <c r="Q134" s="304"/>
      <c r="R134" s="304"/>
      <c r="S134" s="303"/>
      <c r="T134" s="385"/>
      <c r="U134" s="304"/>
      <c r="V134" s="304"/>
      <c r="W134" s="303"/>
      <c r="Y134" s="118"/>
      <c r="Z134" s="119"/>
      <c r="AA134" s="118"/>
      <c r="AB134" s="118"/>
    </row>
    <row r="135" spans="2:28" s="104" customFormat="1" ht="15" customHeight="1" x14ac:dyDescent="0.25">
      <c r="B135" s="443" t="s">
        <v>528</v>
      </c>
      <c r="C135" s="388" t="s">
        <v>529</v>
      </c>
      <c r="D135" s="380" t="s">
        <v>101</v>
      </c>
      <c r="E135" s="381">
        <v>228.04</v>
      </c>
      <c r="F135" s="382">
        <v>51.88</v>
      </c>
      <c r="G135" s="305">
        <f t="shared" ref="G135:G136" si="163">ROUND(E135*F135,2)</f>
        <v>11830.72</v>
      </c>
      <c r="H135" s="142"/>
      <c r="I135" s="301"/>
      <c r="J135" s="302">
        <v>0</v>
      </c>
      <c r="K135" s="303">
        <v>0</v>
      </c>
      <c r="L135" s="384"/>
      <c r="M135" s="682">
        <f>+E135</f>
        <v>228.04</v>
      </c>
      <c r="N135" s="683">
        <f t="shared" ref="N135:N136" si="164">ROUND(M135*$F135,2)</f>
        <v>11830.72</v>
      </c>
      <c r="O135" s="684">
        <f t="shared" ref="O135:O136" si="165">ROUND(N135/$G135,4)</f>
        <v>1</v>
      </c>
      <c r="P135" s="134"/>
      <c r="Q135" s="149">
        <f t="shared" ref="Q135:S136" si="166">+I135+M135</f>
        <v>228.04</v>
      </c>
      <c r="R135" s="149">
        <f t="shared" si="166"/>
        <v>11830.72</v>
      </c>
      <c r="S135" s="145">
        <f t="shared" si="166"/>
        <v>1</v>
      </c>
      <c r="T135" s="385"/>
      <c r="U135" s="149">
        <f t="shared" ref="U135:U136" si="167">+E135-Q135</f>
        <v>0</v>
      </c>
      <c r="V135" s="149">
        <f t="shared" ref="V135:V136" si="168">+G135-R135</f>
        <v>0</v>
      </c>
      <c r="W135" s="145">
        <f t="shared" ref="W135:W136" si="169">1-S135</f>
        <v>0</v>
      </c>
      <c r="Y135" s="118"/>
      <c r="Z135" s="119"/>
      <c r="AA135" s="118"/>
      <c r="AB135" s="118"/>
    </row>
    <row r="136" spans="2:28" s="104" customFormat="1" ht="15" customHeight="1" x14ac:dyDescent="0.25">
      <c r="B136" s="443" t="s">
        <v>530</v>
      </c>
      <c r="C136" s="388" t="s">
        <v>531</v>
      </c>
      <c r="D136" s="380" t="s">
        <v>101</v>
      </c>
      <c r="E136" s="381">
        <v>228.04</v>
      </c>
      <c r="F136" s="382">
        <v>28.17</v>
      </c>
      <c r="G136" s="305">
        <f t="shared" si="163"/>
        <v>6423.89</v>
      </c>
      <c r="H136" s="142"/>
      <c r="I136" s="301"/>
      <c r="J136" s="302">
        <v>0</v>
      </c>
      <c r="K136" s="303">
        <v>0</v>
      </c>
      <c r="L136" s="384"/>
      <c r="M136" s="682">
        <f>+E136</f>
        <v>228.04</v>
      </c>
      <c r="N136" s="683">
        <f t="shared" si="164"/>
        <v>6423.89</v>
      </c>
      <c r="O136" s="684">
        <f t="shared" si="165"/>
        <v>1</v>
      </c>
      <c r="P136" s="134"/>
      <c r="Q136" s="149">
        <f t="shared" si="166"/>
        <v>228.04</v>
      </c>
      <c r="R136" s="149">
        <f t="shared" si="166"/>
        <v>6423.89</v>
      </c>
      <c r="S136" s="145">
        <f t="shared" si="166"/>
        <v>1</v>
      </c>
      <c r="T136" s="385"/>
      <c r="U136" s="149">
        <f t="shared" si="167"/>
        <v>0</v>
      </c>
      <c r="V136" s="149">
        <f t="shared" si="168"/>
        <v>0</v>
      </c>
      <c r="W136" s="145">
        <f t="shared" si="169"/>
        <v>0</v>
      </c>
      <c r="Y136" s="118"/>
      <c r="Z136" s="119"/>
      <c r="AA136" s="118"/>
      <c r="AB136" s="118"/>
    </row>
    <row r="137" spans="2:28" s="104" customFormat="1" ht="15" customHeight="1" x14ac:dyDescent="0.25">
      <c r="B137" s="441" t="s">
        <v>532</v>
      </c>
      <c r="C137" s="386" t="s">
        <v>533</v>
      </c>
      <c r="D137" s="393"/>
      <c r="E137" s="394"/>
      <c r="F137" s="395"/>
      <c r="G137" s="306"/>
      <c r="H137" s="142"/>
      <c r="I137" s="301"/>
      <c r="J137" s="302"/>
      <c r="K137" s="303"/>
      <c r="L137" s="384"/>
      <c r="M137" s="685"/>
      <c r="N137" s="686"/>
      <c r="O137" s="687"/>
      <c r="P137" s="134"/>
      <c r="Q137" s="304"/>
      <c r="R137" s="304"/>
      <c r="S137" s="303"/>
      <c r="T137" s="385"/>
      <c r="U137" s="304"/>
      <c r="V137" s="304"/>
      <c r="W137" s="303"/>
      <c r="Y137" s="118"/>
      <c r="Z137" s="119"/>
      <c r="AA137" s="118"/>
      <c r="AB137" s="118"/>
    </row>
    <row r="138" spans="2:28" s="104" customFormat="1" ht="15" customHeight="1" x14ac:dyDescent="0.25">
      <c r="B138" s="443" t="s">
        <v>534</v>
      </c>
      <c r="C138" s="389" t="s">
        <v>535</v>
      </c>
      <c r="D138" s="380" t="s">
        <v>233</v>
      </c>
      <c r="E138" s="381">
        <v>40</v>
      </c>
      <c r="F138" s="382">
        <v>30.6</v>
      </c>
      <c r="G138" s="305">
        <f>ROUND(E138*F138,2)</f>
        <v>1224</v>
      </c>
      <c r="H138" s="142"/>
      <c r="I138" s="301"/>
      <c r="J138" s="302">
        <v>0</v>
      </c>
      <c r="K138" s="303">
        <v>0</v>
      </c>
      <c r="L138" s="384"/>
      <c r="M138" s="682">
        <f>+E138</f>
        <v>40</v>
      </c>
      <c r="N138" s="683">
        <f>ROUND(M138*$F138,2)</f>
        <v>1224</v>
      </c>
      <c r="O138" s="684">
        <f>ROUND(N138/$G138,4)</f>
        <v>1</v>
      </c>
      <c r="P138" s="134"/>
      <c r="Q138" s="149">
        <f>+I138+M138</f>
        <v>40</v>
      </c>
      <c r="R138" s="149">
        <f>+J138+N138</f>
        <v>1224</v>
      </c>
      <c r="S138" s="145">
        <f>+K138+O138</f>
        <v>1</v>
      </c>
      <c r="T138" s="385"/>
      <c r="U138" s="149">
        <f>+E138-Q138</f>
        <v>0</v>
      </c>
      <c r="V138" s="149">
        <f>+G138-R138</f>
        <v>0</v>
      </c>
      <c r="W138" s="145">
        <f>1-S138</f>
        <v>0</v>
      </c>
      <c r="Y138" s="118"/>
      <c r="Z138" s="119"/>
      <c r="AA138" s="118"/>
      <c r="AB138" s="118"/>
    </row>
    <row r="139" spans="2:28" s="104" customFormat="1" ht="15" customHeight="1" x14ac:dyDescent="0.25">
      <c r="B139" s="441" t="s">
        <v>536</v>
      </c>
      <c r="C139" s="386" t="s">
        <v>109</v>
      </c>
      <c r="D139" s="393"/>
      <c r="E139" s="394"/>
      <c r="F139" s="395"/>
      <c r="G139" s="306"/>
      <c r="H139" s="142"/>
      <c r="I139" s="301"/>
      <c r="J139" s="302"/>
      <c r="K139" s="303"/>
      <c r="L139" s="384"/>
      <c r="M139" s="685"/>
      <c r="N139" s="686"/>
      <c r="O139" s="687"/>
      <c r="P139" s="134"/>
      <c r="Q139" s="304"/>
      <c r="R139" s="304"/>
      <c r="S139" s="303"/>
      <c r="T139" s="385"/>
      <c r="U139" s="304"/>
      <c r="V139" s="304"/>
      <c r="W139" s="303"/>
      <c r="Y139" s="118"/>
      <c r="Z139" s="119"/>
      <c r="AA139" s="118"/>
      <c r="AB139" s="118"/>
    </row>
    <row r="140" spans="2:28" s="104" customFormat="1" ht="15" customHeight="1" x14ac:dyDescent="0.25">
      <c r="B140" s="443" t="s">
        <v>537</v>
      </c>
      <c r="C140" s="388" t="s">
        <v>538</v>
      </c>
      <c r="D140" s="380" t="s">
        <v>233</v>
      </c>
      <c r="E140" s="381">
        <v>4</v>
      </c>
      <c r="F140" s="382">
        <v>2550</v>
      </c>
      <c r="G140" s="305">
        <f>ROUND(E140*F140,2)</f>
        <v>10200</v>
      </c>
      <c r="H140" s="142"/>
      <c r="I140" s="301">
        <v>4</v>
      </c>
      <c r="J140" s="302">
        <v>10200</v>
      </c>
      <c r="K140" s="303">
        <v>1</v>
      </c>
      <c r="L140" s="384"/>
      <c r="M140" s="682"/>
      <c r="N140" s="683">
        <f>ROUND(M140*$F140,2)</f>
        <v>0</v>
      </c>
      <c r="O140" s="684">
        <f>ROUND(N140/$G140,4)</f>
        <v>0</v>
      </c>
      <c r="P140" s="134"/>
      <c r="Q140" s="149">
        <f>+I140+M140</f>
        <v>4</v>
      </c>
      <c r="R140" s="149">
        <f>+J140+N140</f>
        <v>10200</v>
      </c>
      <c r="S140" s="145">
        <f>+K140+O140</f>
        <v>1</v>
      </c>
      <c r="T140" s="385"/>
      <c r="U140" s="149">
        <f>+E140-Q140</f>
        <v>0</v>
      </c>
      <c r="V140" s="149">
        <f>+G140-R140</f>
        <v>0</v>
      </c>
      <c r="W140" s="145">
        <f>1-S140</f>
        <v>0</v>
      </c>
      <c r="Y140" s="118"/>
      <c r="Z140" s="119"/>
      <c r="AA140" s="118"/>
      <c r="AB140" s="118"/>
    </row>
    <row r="141" spans="2:28" s="104" customFormat="1" ht="15" customHeight="1" x14ac:dyDescent="0.25">
      <c r="B141" s="441" t="s">
        <v>539</v>
      </c>
      <c r="C141" s="386" t="s">
        <v>540</v>
      </c>
      <c r="D141" s="393"/>
      <c r="E141" s="394"/>
      <c r="F141" s="395"/>
      <c r="G141" s="306"/>
      <c r="H141" s="142"/>
      <c r="I141" s="301"/>
      <c r="J141" s="302"/>
      <c r="K141" s="303"/>
      <c r="L141" s="384"/>
      <c r="M141" s="685"/>
      <c r="N141" s="686"/>
      <c r="O141" s="687"/>
      <c r="P141" s="134"/>
      <c r="Q141" s="304"/>
      <c r="R141" s="304"/>
      <c r="S141" s="303"/>
      <c r="T141" s="385"/>
      <c r="U141" s="304"/>
      <c r="V141" s="304"/>
      <c r="W141" s="303"/>
      <c r="Y141" s="118"/>
      <c r="Z141" s="119"/>
      <c r="AA141" s="118"/>
      <c r="AB141" s="118"/>
    </row>
    <row r="142" spans="2:28" s="104" customFormat="1" ht="15" customHeight="1" x14ac:dyDescent="0.25">
      <c r="B142" s="443" t="s">
        <v>541</v>
      </c>
      <c r="C142" s="389" t="s">
        <v>542</v>
      </c>
      <c r="D142" s="380" t="s">
        <v>5</v>
      </c>
      <c r="E142" s="381">
        <v>1</v>
      </c>
      <c r="F142" s="382">
        <v>5500</v>
      </c>
      <c r="G142" s="305">
        <f t="shared" ref="G142:G146" si="170">ROUND(E142*F142,2)</f>
        <v>5500</v>
      </c>
      <c r="H142" s="142"/>
      <c r="I142" s="301">
        <v>1</v>
      </c>
      <c r="J142" s="302">
        <v>5500</v>
      </c>
      <c r="K142" s="303">
        <v>1</v>
      </c>
      <c r="L142" s="384"/>
      <c r="M142" s="682"/>
      <c r="N142" s="683">
        <f t="shared" ref="N142:N146" si="171">ROUND(M142*$F142,2)</f>
        <v>0</v>
      </c>
      <c r="O142" s="684">
        <f t="shared" ref="O142:O146" si="172">ROUND(N142/$G142,4)</f>
        <v>0</v>
      </c>
      <c r="P142" s="134"/>
      <c r="Q142" s="149">
        <f>+I142+M142</f>
        <v>1</v>
      </c>
      <c r="R142" s="149">
        <f t="shared" ref="Q142:S146" si="173">+J142+N142</f>
        <v>5500</v>
      </c>
      <c r="S142" s="145">
        <f t="shared" si="173"/>
        <v>1</v>
      </c>
      <c r="T142" s="385"/>
      <c r="U142" s="149">
        <f t="shared" ref="U142:U146" si="174">+E142-Q142</f>
        <v>0</v>
      </c>
      <c r="V142" s="149">
        <f t="shared" ref="V142:V146" si="175">+G142-R142</f>
        <v>0</v>
      </c>
      <c r="W142" s="145">
        <f t="shared" ref="W142:W146" si="176">1-S142</f>
        <v>0</v>
      </c>
      <c r="Y142" s="118"/>
      <c r="Z142" s="119"/>
      <c r="AA142" s="118"/>
      <c r="AB142" s="118"/>
    </row>
    <row r="143" spans="2:28" s="104" customFormat="1" ht="15" customHeight="1" x14ac:dyDescent="0.25">
      <c r="B143" s="443" t="s">
        <v>543</v>
      </c>
      <c r="C143" s="388" t="s">
        <v>544</v>
      </c>
      <c r="D143" s="380" t="s">
        <v>5</v>
      </c>
      <c r="E143" s="381">
        <v>1</v>
      </c>
      <c r="F143" s="382">
        <v>4706.1000000000004</v>
      </c>
      <c r="G143" s="305">
        <f t="shared" si="170"/>
        <v>4706.1000000000004</v>
      </c>
      <c r="H143" s="142"/>
      <c r="I143" s="301">
        <v>1</v>
      </c>
      <c r="J143" s="302">
        <v>4706.1000000000004</v>
      </c>
      <c r="K143" s="303">
        <v>1</v>
      </c>
      <c r="L143" s="384"/>
      <c r="M143" s="682"/>
      <c r="N143" s="683">
        <f t="shared" si="171"/>
        <v>0</v>
      </c>
      <c r="O143" s="684">
        <f t="shared" si="172"/>
        <v>0</v>
      </c>
      <c r="P143" s="134"/>
      <c r="Q143" s="149">
        <f t="shared" si="173"/>
        <v>1</v>
      </c>
      <c r="R143" s="149">
        <f t="shared" si="173"/>
        <v>4706.1000000000004</v>
      </c>
      <c r="S143" s="145">
        <f t="shared" si="173"/>
        <v>1</v>
      </c>
      <c r="T143" s="385"/>
      <c r="U143" s="149">
        <f t="shared" si="174"/>
        <v>0</v>
      </c>
      <c r="V143" s="149">
        <f t="shared" si="175"/>
        <v>0</v>
      </c>
      <c r="W143" s="145">
        <f t="shared" si="176"/>
        <v>0</v>
      </c>
      <c r="Y143" s="118"/>
      <c r="Z143" s="119"/>
      <c r="AA143" s="118"/>
      <c r="AB143" s="118"/>
    </row>
    <row r="144" spans="2:28" s="104" customFormat="1" ht="15" customHeight="1" x14ac:dyDescent="0.25">
      <c r="B144" s="443" t="s">
        <v>545</v>
      </c>
      <c r="C144" s="388" t="s">
        <v>546</v>
      </c>
      <c r="D144" s="380" t="s">
        <v>5</v>
      </c>
      <c r="E144" s="381">
        <v>1</v>
      </c>
      <c r="F144" s="382">
        <v>1534.46</v>
      </c>
      <c r="G144" s="305">
        <f t="shared" si="170"/>
        <v>1534.46</v>
      </c>
      <c r="H144" s="142"/>
      <c r="I144" s="301">
        <v>1</v>
      </c>
      <c r="J144" s="302">
        <v>1534.46</v>
      </c>
      <c r="K144" s="303">
        <v>1</v>
      </c>
      <c r="L144" s="384"/>
      <c r="M144" s="682"/>
      <c r="N144" s="683">
        <f t="shared" si="171"/>
        <v>0</v>
      </c>
      <c r="O144" s="684">
        <f t="shared" si="172"/>
        <v>0</v>
      </c>
      <c r="P144" s="134"/>
      <c r="Q144" s="149">
        <f t="shared" si="173"/>
        <v>1</v>
      </c>
      <c r="R144" s="149">
        <f t="shared" si="173"/>
        <v>1534.46</v>
      </c>
      <c r="S144" s="145">
        <f t="shared" si="173"/>
        <v>1</v>
      </c>
      <c r="T144" s="385"/>
      <c r="U144" s="149">
        <f t="shared" si="174"/>
        <v>0</v>
      </c>
      <c r="V144" s="149">
        <f t="shared" si="175"/>
        <v>0</v>
      </c>
      <c r="W144" s="145">
        <f t="shared" si="176"/>
        <v>0</v>
      </c>
      <c r="Y144" s="118"/>
      <c r="Z144" s="119"/>
      <c r="AA144" s="118"/>
      <c r="AB144" s="118"/>
    </row>
    <row r="145" spans="2:28" s="104" customFormat="1" ht="15" customHeight="1" x14ac:dyDescent="0.25">
      <c r="B145" s="443" t="s">
        <v>547</v>
      </c>
      <c r="C145" s="388" t="s">
        <v>548</v>
      </c>
      <c r="D145" s="380" t="s">
        <v>5</v>
      </c>
      <c r="E145" s="381">
        <v>1</v>
      </c>
      <c r="F145" s="382">
        <v>2800</v>
      </c>
      <c r="G145" s="305">
        <f t="shared" si="170"/>
        <v>2800</v>
      </c>
      <c r="H145" s="142"/>
      <c r="I145" s="301">
        <v>0.3</v>
      </c>
      <c r="J145" s="302">
        <v>840</v>
      </c>
      <c r="K145" s="303">
        <v>0.3</v>
      </c>
      <c r="L145" s="384"/>
      <c r="M145" s="682">
        <v>0.3</v>
      </c>
      <c r="N145" s="683">
        <f t="shared" si="171"/>
        <v>840</v>
      </c>
      <c r="O145" s="684">
        <f>ROUND(N145/$G145,4)</f>
        <v>0.3</v>
      </c>
      <c r="P145" s="134"/>
      <c r="Q145" s="149">
        <f t="shared" si="173"/>
        <v>0.6</v>
      </c>
      <c r="R145" s="149">
        <f t="shared" si="173"/>
        <v>1680</v>
      </c>
      <c r="S145" s="145">
        <f t="shared" si="173"/>
        <v>0.6</v>
      </c>
      <c r="T145" s="385"/>
      <c r="U145" s="149">
        <f t="shared" si="174"/>
        <v>0.4</v>
      </c>
      <c r="V145" s="149">
        <f t="shared" si="175"/>
        <v>1120</v>
      </c>
      <c r="W145" s="145">
        <f t="shared" si="176"/>
        <v>0.4</v>
      </c>
      <c r="Y145" s="118"/>
      <c r="Z145" s="119"/>
      <c r="AA145" s="118"/>
      <c r="AB145" s="118"/>
    </row>
    <row r="146" spans="2:28" s="104" customFormat="1" ht="15" customHeight="1" x14ac:dyDescent="0.25">
      <c r="B146" s="443" t="s">
        <v>549</v>
      </c>
      <c r="C146" s="389" t="s">
        <v>550</v>
      </c>
      <c r="D146" s="380" t="s">
        <v>5</v>
      </c>
      <c r="E146" s="381">
        <v>1</v>
      </c>
      <c r="F146" s="382">
        <v>3800</v>
      </c>
      <c r="G146" s="305">
        <f t="shared" si="170"/>
        <v>3800</v>
      </c>
      <c r="H146" s="142"/>
      <c r="I146" s="301">
        <v>1</v>
      </c>
      <c r="J146" s="302">
        <v>3800</v>
      </c>
      <c r="K146" s="303">
        <v>1</v>
      </c>
      <c r="L146" s="384"/>
      <c r="M146" s="682"/>
      <c r="N146" s="683">
        <f t="shared" si="171"/>
        <v>0</v>
      </c>
      <c r="O146" s="684">
        <f t="shared" si="172"/>
        <v>0</v>
      </c>
      <c r="P146" s="134"/>
      <c r="Q146" s="149">
        <f t="shared" si="173"/>
        <v>1</v>
      </c>
      <c r="R146" s="149">
        <f t="shared" si="173"/>
        <v>3800</v>
      </c>
      <c r="S146" s="145">
        <f t="shared" si="173"/>
        <v>1</v>
      </c>
      <c r="T146" s="385"/>
      <c r="U146" s="149">
        <f t="shared" si="174"/>
        <v>0</v>
      </c>
      <c r="V146" s="149">
        <f t="shared" si="175"/>
        <v>0</v>
      </c>
      <c r="W146" s="145">
        <f t="shared" si="176"/>
        <v>0</v>
      </c>
      <c r="Y146" s="118"/>
      <c r="Z146" s="119"/>
      <c r="AA146" s="118"/>
      <c r="AB146" s="118"/>
    </row>
    <row r="147" spans="2:28" s="104" customFormat="1" ht="15" customHeight="1" x14ac:dyDescent="0.25">
      <c r="B147" s="441" t="s">
        <v>551</v>
      </c>
      <c r="C147" s="386" t="s">
        <v>552</v>
      </c>
      <c r="D147" s="393"/>
      <c r="E147" s="394"/>
      <c r="F147" s="395"/>
      <c r="G147" s="306"/>
      <c r="H147" s="142"/>
      <c r="I147" s="301"/>
      <c r="J147" s="302"/>
      <c r="K147" s="303"/>
      <c r="L147" s="384"/>
      <c r="M147" s="685"/>
      <c r="N147" s="686"/>
      <c r="O147" s="687"/>
      <c r="P147" s="134"/>
      <c r="Q147" s="304"/>
      <c r="R147" s="304"/>
      <c r="S147" s="303"/>
      <c r="T147" s="385"/>
      <c r="U147" s="304"/>
      <c r="V147" s="304"/>
      <c r="W147" s="303"/>
      <c r="Y147" s="118"/>
      <c r="Z147" s="119"/>
      <c r="AA147" s="118"/>
      <c r="AB147" s="118"/>
    </row>
    <row r="148" spans="2:28" s="104" customFormat="1" ht="15" customHeight="1" x14ac:dyDescent="0.25">
      <c r="B148" s="443" t="s">
        <v>553</v>
      </c>
      <c r="C148" s="388" t="s">
        <v>554</v>
      </c>
      <c r="D148" s="380" t="s">
        <v>5</v>
      </c>
      <c r="E148" s="381">
        <v>1</v>
      </c>
      <c r="F148" s="382">
        <f>2500+3523</f>
        <v>6023</v>
      </c>
      <c r="G148" s="305">
        <f>ROUND(E148*F148,2)</f>
        <v>6023</v>
      </c>
      <c r="H148" s="142"/>
      <c r="I148" s="301">
        <v>1</v>
      </c>
      <c r="J148" s="302">
        <v>6023</v>
      </c>
      <c r="K148" s="303">
        <v>1</v>
      </c>
      <c r="L148" s="384"/>
      <c r="M148" s="682"/>
      <c r="N148" s="683">
        <f>ROUND(M148*$F148,2)</f>
        <v>0</v>
      </c>
      <c r="O148" s="684">
        <f>ROUND(N148/$G148,4)</f>
        <v>0</v>
      </c>
      <c r="P148" s="134"/>
      <c r="Q148" s="149">
        <f>+I148+M148</f>
        <v>1</v>
      </c>
      <c r="R148" s="149">
        <f>+J148+N148</f>
        <v>6023</v>
      </c>
      <c r="S148" s="145">
        <f>+K148+O148</f>
        <v>1</v>
      </c>
      <c r="T148" s="385"/>
      <c r="U148" s="149">
        <f>+E148-Q148</f>
        <v>0</v>
      </c>
      <c r="V148" s="149">
        <f>+G148-R148</f>
        <v>0</v>
      </c>
      <c r="W148" s="145">
        <f>1-S148</f>
        <v>0</v>
      </c>
      <c r="Y148" s="118"/>
      <c r="Z148" s="119"/>
      <c r="AA148" s="118"/>
      <c r="AB148" s="118"/>
    </row>
    <row r="149" spans="2:28" s="104" customFormat="1" ht="15" customHeight="1" x14ac:dyDescent="0.25">
      <c r="B149" s="441" t="s">
        <v>555</v>
      </c>
      <c r="C149" s="404" t="s">
        <v>556</v>
      </c>
      <c r="D149" s="393"/>
      <c r="E149" s="394"/>
      <c r="F149" s="395"/>
      <c r="G149" s="306"/>
      <c r="H149" s="142"/>
      <c r="I149" s="301"/>
      <c r="J149" s="302"/>
      <c r="K149" s="303"/>
      <c r="L149" s="384"/>
      <c r="M149" s="685"/>
      <c r="N149" s="686"/>
      <c r="O149" s="687"/>
      <c r="P149" s="134"/>
      <c r="Q149" s="304"/>
      <c r="R149" s="304"/>
      <c r="S149" s="303"/>
      <c r="T149" s="385"/>
      <c r="U149" s="304"/>
      <c r="V149" s="304"/>
      <c r="W149" s="303"/>
      <c r="Y149" s="118"/>
      <c r="Z149" s="119"/>
      <c r="AA149" s="118"/>
      <c r="AB149" s="118"/>
    </row>
    <row r="150" spans="2:28" s="104" customFormat="1" ht="15" customHeight="1" x14ac:dyDescent="0.25">
      <c r="B150" s="443" t="s">
        <v>557</v>
      </c>
      <c r="C150" s="388" t="s">
        <v>558</v>
      </c>
      <c r="D150" s="380" t="s">
        <v>5</v>
      </c>
      <c r="E150" s="381">
        <v>1</v>
      </c>
      <c r="F150" s="382">
        <v>5620</v>
      </c>
      <c r="G150" s="305">
        <f t="shared" ref="G150:G155" si="177">ROUND(E150*F150,2)</f>
        <v>5620</v>
      </c>
      <c r="H150" s="142"/>
      <c r="I150" s="301">
        <v>1</v>
      </c>
      <c r="J150" s="302">
        <v>5620</v>
      </c>
      <c r="K150" s="303">
        <v>1</v>
      </c>
      <c r="L150" s="384"/>
      <c r="M150" s="682"/>
      <c r="N150" s="683">
        <f t="shared" ref="N150:N155" si="178">ROUND(M150*$F150,2)</f>
        <v>0</v>
      </c>
      <c r="O150" s="684">
        <f t="shared" ref="O150:O155" si="179">ROUND(N150/$G150,4)</f>
        <v>0</v>
      </c>
      <c r="P150" s="134"/>
      <c r="Q150" s="149">
        <f t="shared" ref="Q150:S155" si="180">+I150+M150</f>
        <v>1</v>
      </c>
      <c r="R150" s="149">
        <f t="shared" si="180"/>
        <v>5620</v>
      </c>
      <c r="S150" s="145">
        <f t="shared" si="180"/>
        <v>1</v>
      </c>
      <c r="T150" s="385"/>
      <c r="U150" s="149">
        <f t="shared" ref="U150:U155" si="181">+E150-Q150</f>
        <v>0</v>
      </c>
      <c r="V150" s="149">
        <f t="shared" ref="V150:V155" si="182">+G150-R150</f>
        <v>0</v>
      </c>
      <c r="W150" s="145">
        <f t="shared" ref="W150:W155" si="183">1-S150</f>
        <v>0</v>
      </c>
      <c r="Y150" s="118"/>
      <c r="Z150" s="119"/>
      <c r="AA150" s="118"/>
      <c r="AB150" s="118"/>
    </row>
    <row r="151" spans="2:28" s="104" customFormat="1" ht="15" customHeight="1" x14ac:dyDescent="0.25">
      <c r="B151" s="443" t="s">
        <v>559</v>
      </c>
      <c r="C151" s="408" t="s">
        <v>560</v>
      </c>
      <c r="D151" s="380" t="s">
        <v>5</v>
      </c>
      <c r="E151" s="381">
        <v>1</v>
      </c>
      <c r="F151" s="382">
        <v>3420</v>
      </c>
      <c r="G151" s="305">
        <f t="shared" si="177"/>
        <v>3420</v>
      </c>
      <c r="H151" s="142"/>
      <c r="I151" s="301">
        <v>1</v>
      </c>
      <c r="J151" s="302">
        <v>3420</v>
      </c>
      <c r="K151" s="303">
        <v>1</v>
      </c>
      <c r="L151" s="384"/>
      <c r="M151" s="682"/>
      <c r="N151" s="683">
        <f t="shared" si="178"/>
        <v>0</v>
      </c>
      <c r="O151" s="684">
        <f t="shared" si="179"/>
        <v>0</v>
      </c>
      <c r="P151" s="134"/>
      <c r="Q151" s="149">
        <f t="shared" si="180"/>
        <v>1</v>
      </c>
      <c r="R151" s="149">
        <f t="shared" si="180"/>
        <v>3420</v>
      </c>
      <c r="S151" s="145">
        <f t="shared" si="180"/>
        <v>1</v>
      </c>
      <c r="T151" s="385"/>
      <c r="U151" s="149">
        <f t="shared" si="181"/>
        <v>0</v>
      </c>
      <c r="V151" s="149">
        <f t="shared" si="182"/>
        <v>0</v>
      </c>
      <c r="W151" s="145">
        <f t="shared" si="183"/>
        <v>0</v>
      </c>
      <c r="Y151" s="118"/>
      <c r="Z151" s="119"/>
      <c r="AA151" s="118"/>
      <c r="AB151" s="118"/>
    </row>
    <row r="152" spans="2:28" s="104" customFormat="1" ht="15" customHeight="1" x14ac:dyDescent="0.25">
      <c r="B152" s="443" t="s">
        <v>561</v>
      </c>
      <c r="C152" s="388" t="s">
        <v>562</v>
      </c>
      <c r="D152" s="380" t="s">
        <v>563</v>
      </c>
      <c r="E152" s="381">
        <v>1</v>
      </c>
      <c r="F152" s="382">
        <v>3600</v>
      </c>
      <c r="G152" s="305">
        <f t="shared" si="177"/>
        <v>3600</v>
      </c>
      <c r="H152" s="142"/>
      <c r="I152" s="301">
        <v>0.3</v>
      </c>
      <c r="J152" s="302">
        <v>1080</v>
      </c>
      <c r="K152" s="303">
        <v>0.3</v>
      </c>
      <c r="L152" s="384"/>
      <c r="M152" s="682">
        <v>0.7</v>
      </c>
      <c r="N152" s="683">
        <f t="shared" si="178"/>
        <v>2520</v>
      </c>
      <c r="O152" s="684">
        <f t="shared" si="179"/>
        <v>0.7</v>
      </c>
      <c r="P152" s="134"/>
      <c r="Q152" s="149">
        <f t="shared" si="180"/>
        <v>1</v>
      </c>
      <c r="R152" s="149">
        <f t="shared" si="180"/>
        <v>3600</v>
      </c>
      <c r="S152" s="145">
        <f t="shared" si="180"/>
        <v>1</v>
      </c>
      <c r="T152" s="385"/>
      <c r="U152" s="149">
        <f t="shared" si="181"/>
        <v>0</v>
      </c>
      <c r="V152" s="149">
        <f t="shared" si="182"/>
        <v>0</v>
      </c>
      <c r="W152" s="145">
        <f t="shared" si="183"/>
        <v>0</v>
      </c>
      <c r="Y152" s="118"/>
      <c r="Z152" s="119"/>
      <c r="AA152" s="118"/>
      <c r="AB152" s="118"/>
    </row>
    <row r="153" spans="2:28" s="104" customFormat="1" ht="15" customHeight="1" x14ac:dyDescent="0.25">
      <c r="B153" s="443" t="s">
        <v>564</v>
      </c>
      <c r="C153" s="388" t="s">
        <v>565</v>
      </c>
      <c r="D153" s="380" t="s">
        <v>563</v>
      </c>
      <c r="E153" s="381">
        <v>1</v>
      </c>
      <c r="F153" s="382">
        <v>1550</v>
      </c>
      <c r="G153" s="305">
        <f t="shared" si="177"/>
        <v>1550</v>
      </c>
      <c r="H153" s="142"/>
      <c r="I153" s="301">
        <v>0.3</v>
      </c>
      <c r="J153" s="302">
        <v>465</v>
      </c>
      <c r="K153" s="303">
        <v>0.3</v>
      </c>
      <c r="L153" s="384"/>
      <c r="M153" s="682">
        <v>0.7</v>
      </c>
      <c r="N153" s="683">
        <f t="shared" si="178"/>
        <v>1085</v>
      </c>
      <c r="O153" s="684">
        <f t="shared" si="179"/>
        <v>0.7</v>
      </c>
      <c r="P153" s="134"/>
      <c r="Q153" s="149">
        <f t="shared" si="180"/>
        <v>1</v>
      </c>
      <c r="R153" s="149">
        <f t="shared" si="180"/>
        <v>1550</v>
      </c>
      <c r="S153" s="145">
        <f t="shared" si="180"/>
        <v>1</v>
      </c>
      <c r="T153" s="385"/>
      <c r="U153" s="149">
        <f t="shared" si="181"/>
        <v>0</v>
      </c>
      <c r="V153" s="149">
        <f t="shared" si="182"/>
        <v>0</v>
      </c>
      <c r="W153" s="145">
        <f t="shared" si="183"/>
        <v>0</v>
      </c>
      <c r="Y153" s="118"/>
      <c r="Z153" s="119"/>
      <c r="AA153" s="118"/>
      <c r="AB153" s="118"/>
    </row>
    <row r="154" spans="2:28" s="104" customFormat="1" ht="15" customHeight="1" x14ac:dyDescent="0.25">
      <c r="B154" s="443" t="s">
        <v>566</v>
      </c>
      <c r="C154" s="388" t="s">
        <v>567</v>
      </c>
      <c r="D154" s="380" t="s">
        <v>101</v>
      </c>
      <c r="E154" s="381">
        <v>1932.21</v>
      </c>
      <c r="F154" s="382">
        <v>1.2</v>
      </c>
      <c r="G154" s="305">
        <f t="shared" si="177"/>
        <v>2318.65</v>
      </c>
      <c r="H154" s="142"/>
      <c r="I154" s="301">
        <v>1932.21</v>
      </c>
      <c r="J154" s="302">
        <v>2318.65</v>
      </c>
      <c r="K154" s="303">
        <v>1</v>
      </c>
      <c r="L154" s="384"/>
      <c r="M154" s="682"/>
      <c r="N154" s="683">
        <f t="shared" si="178"/>
        <v>0</v>
      </c>
      <c r="O154" s="684">
        <f t="shared" si="179"/>
        <v>0</v>
      </c>
      <c r="P154" s="134"/>
      <c r="Q154" s="149">
        <f t="shared" si="180"/>
        <v>1932.21</v>
      </c>
      <c r="R154" s="149">
        <f t="shared" si="180"/>
        <v>2318.65</v>
      </c>
      <c r="S154" s="145">
        <f t="shared" si="180"/>
        <v>1</v>
      </c>
      <c r="T154" s="385"/>
      <c r="U154" s="149">
        <f t="shared" si="181"/>
        <v>0</v>
      </c>
      <c r="V154" s="149">
        <f t="shared" si="182"/>
        <v>0</v>
      </c>
      <c r="W154" s="145">
        <f t="shared" si="183"/>
        <v>0</v>
      </c>
      <c r="Y154" s="118"/>
      <c r="Z154" s="119"/>
      <c r="AA154" s="118"/>
      <c r="AB154" s="118"/>
    </row>
    <row r="155" spans="2:28" s="104" customFormat="1" ht="15" customHeight="1" x14ac:dyDescent="0.25">
      <c r="B155" s="445" t="s">
        <v>568</v>
      </c>
      <c r="C155" s="409" t="s">
        <v>569</v>
      </c>
      <c r="D155" s="410" t="s">
        <v>101</v>
      </c>
      <c r="E155" s="411">
        <v>1932.21</v>
      </c>
      <c r="F155" s="412">
        <v>1.1200000000000001</v>
      </c>
      <c r="G155" s="308">
        <f t="shared" si="177"/>
        <v>2164.08</v>
      </c>
      <c r="H155" s="142"/>
      <c r="I155" s="146"/>
      <c r="J155" s="298">
        <v>0</v>
      </c>
      <c r="K155" s="147">
        <v>0</v>
      </c>
      <c r="L155" s="384"/>
      <c r="M155" s="688"/>
      <c r="N155" s="689">
        <f t="shared" si="178"/>
        <v>0</v>
      </c>
      <c r="O155" s="690">
        <f t="shared" si="179"/>
        <v>0</v>
      </c>
      <c r="P155" s="134"/>
      <c r="Q155" s="150">
        <f t="shared" si="180"/>
        <v>0</v>
      </c>
      <c r="R155" s="150">
        <f t="shared" si="180"/>
        <v>0</v>
      </c>
      <c r="S155" s="147">
        <f t="shared" si="180"/>
        <v>0</v>
      </c>
      <c r="T155" s="385"/>
      <c r="U155" s="150">
        <f t="shared" si="181"/>
        <v>1932.21</v>
      </c>
      <c r="V155" s="150">
        <f t="shared" si="182"/>
        <v>2164.08</v>
      </c>
      <c r="W155" s="147">
        <f t="shared" si="183"/>
        <v>1</v>
      </c>
      <c r="Y155" s="118"/>
      <c r="Z155" s="119"/>
      <c r="AA155" s="118"/>
      <c r="AB155" s="118"/>
    </row>
    <row r="156" spans="2:28" s="104" customFormat="1" ht="7.5" customHeight="1" x14ac:dyDescent="0.25">
      <c r="B156" s="309"/>
      <c r="C156" s="310"/>
      <c r="D156" s="311"/>
      <c r="E156" s="312"/>
      <c r="F156" s="312"/>
      <c r="G156" s="384"/>
      <c r="H156" s="384"/>
      <c r="I156" s="384"/>
      <c r="J156" s="384"/>
      <c r="K156" s="385"/>
      <c r="L156" s="384"/>
      <c r="M156" s="134"/>
      <c r="N156" s="384"/>
      <c r="O156" s="385"/>
      <c r="P156" s="384"/>
      <c r="Q156" s="134"/>
      <c r="R156" s="134"/>
      <c r="S156" s="385"/>
      <c r="T156" s="385"/>
      <c r="U156" s="134"/>
      <c r="V156" s="134"/>
      <c r="W156" s="385"/>
      <c r="Y156" s="118"/>
      <c r="Z156" s="119"/>
      <c r="AA156" s="118"/>
      <c r="AB156" s="118"/>
    </row>
    <row r="157" spans="2:28" s="104" customFormat="1" ht="15" customHeight="1" x14ac:dyDescent="0.25">
      <c r="B157" s="236" t="s">
        <v>4</v>
      </c>
      <c r="C157" s="236"/>
      <c r="D157" s="313"/>
      <c r="E157" s="314"/>
      <c r="F157" s="228"/>
      <c r="G157" s="315">
        <f>ROUND(SUM(G12:G155),2)</f>
        <v>462717.27</v>
      </c>
      <c r="H157" s="142"/>
      <c r="I157" s="143">
        <v>0</v>
      </c>
      <c r="J157" s="316">
        <v>290198.67</v>
      </c>
      <c r="K157" s="503">
        <f>+J163</f>
        <v>0.62719999999999998</v>
      </c>
      <c r="L157" s="384"/>
      <c r="M157" s="691">
        <v>0</v>
      </c>
      <c r="N157" s="692">
        <f>ROUND(SUM(N12:N155),2)</f>
        <v>162392.10999999999</v>
      </c>
      <c r="O157" s="693">
        <f>+N163</f>
        <v>0.35099999999999998</v>
      </c>
      <c r="P157" s="384"/>
      <c r="Q157" s="148">
        <f t="shared" ref="Q157" si="184">+I157+M157</f>
        <v>0</v>
      </c>
      <c r="R157" s="316">
        <f>+J157+N157</f>
        <v>452590.77999999997</v>
      </c>
      <c r="S157" s="503">
        <f>+K157+O157</f>
        <v>0.97819999999999996</v>
      </c>
      <c r="T157" s="385"/>
      <c r="U157" s="148">
        <f t="shared" ref="U157" si="185">+E157-Q157</f>
        <v>0</v>
      </c>
      <c r="V157" s="316">
        <f>+G157-R157</f>
        <v>10126.490000000049</v>
      </c>
      <c r="W157" s="503">
        <f>1-S157</f>
        <v>2.1800000000000042E-2</v>
      </c>
      <c r="Y157" s="118">
        <f>+R157+V157</f>
        <v>462717.27</v>
      </c>
      <c r="Z157" s="119"/>
      <c r="AA157" s="118"/>
      <c r="AB157" s="118"/>
    </row>
    <row r="158" spans="2:28" s="104" customFormat="1" ht="15" customHeight="1" x14ac:dyDescent="0.25">
      <c r="B158" s="103" t="s">
        <v>98</v>
      </c>
      <c r="C158" s="103"/>
      <c r="D158" s="317">
        <v>0.1</v>
      </c>
      <c r="E158" s="132"/>
      <c r="F158" s="128"/>
      <c r="G158" s="318">
        <f>ROUND($D158*G$157,2)</f>
        <v>46271.73</v>
      </c>
      <c r="H158" s="142"/>
      <c r="I158" s="144"/>
      <c r="J158" s="319">
        <v>29019.87</v>
      </c>
      <c r="K158" s="504"/>
      <c r="L158" s="384"/>
      <c r="M158" s="682"/>
      <c r="N158" s="694">
        <f>ROUND($D158*N$157,2)</f>
        <v>16239.21</v>
      </c>
      <c r="O158" s="695"/>
      <c r="P158" s="134"/>
      <c r="Q158" s="149"/>
      <c r="R158" s="319">
        <f>+J158+N158</f>
        <v>45259.08</v>
      </c>
      <c r="S158" s="504"/>
      <c r="T158" s="385"/>
      <c r="U158" s="149"/>
      <c r="V158" s="319">
        <f t="shared" ref="V158:V163" si="186">+G158-R158</f>
        <v>1012.6500000000015</v>
      </c>
      <c r="W158" s="504"/>
      <c r="Y158" s="118"/>
      <c r="Z158" s="119"/>
      <c r="AA158" s="118"/>
      <c r="AB158" s="118"/>
    </row>
    <row r="159" spans="2:28" s="104" customFormat="1" ht="15" customHeight="1" x14ac:dyDescent="0.25">
      <c r="B159" s="103" t="s">
        <v>99</v>
      </c>
      <c r="C159" s="103"/>
      <c r="D159" s="320">
        <v>7.0000000000000007E-2</v>
      </c>
      <c r="E159" s="132"/>
      <c r="F159" s="128"/>
      <c r="G159" s="318">
        <f>ROUND($D159*G$157,2)</f>
        <v>32390.21</v>
      </c>
      <c r="H159" s="142"/>
      <c r="I159" s="144">
        <v>0</v>
      </c>
      <c r="J159" s="319">
        <v>20313.91</v>
      </c>
      <c r="K159" s="504"/>
      <c r="L159" s="384"/>
      <c r="M159" s="682">
        <v>0</v>
      </c>
      <c r="N159" s="694">
        <f>ROUND($D159*N$157,2)</f>
        <v>11367.45</v>
      </c>
      <c r="O159" s="695"/>
      <c r="P159" s="384"/>
      <c r="Q159" s="149">
        <f t="shared" ref="Q159:Q160" si="187">+I159+M159</f>
        <v>0</v>
      </c>
      <c r="R159" s="319">
        <f>+J159+N159</f>
        <v>31681.360000000001</v>
      </c>
      <c r="S159" s="504"/>
      <c r="T159" s="385"/>
      <c r="U159" s="149">
        <f t="shared" ref="U159:U160" si="188">+E159-Q159</f>
        <v>0</v>
      </c>
      <c r="V159" s="319">
        <f>+G159-R159</f>
        <v>708.84999999999854</v>
      </c>
      <c r="W159" s="504"/>
      <c r="Y159" s="118"/>
      <c r="Z159" s="119"/>
      <c r="AA159" s="118"/>
      <c r="AB159" s="118"/>
    </row>
    <row r="160" spans="2:28" s="104" customFormat="1" ht="15" customHeight="1" x14ac:dyDescent="0.25">
      <c r="B160" s="236" t="s">
        <v>33</v>
      </c>
      <c r="C160" s="236"/>
      <c r="D160" s="154"/>
      <c r="E160" s="314"/>
      <c r="F160" s="228"/>
      <c r="G160" s="321">
        <f>ROUND(G157+G158+G159,2)</f>
        <v>541379.21</v>
      </c>
      <c r="H160" s="142"/>
      <c r="I160" s="144">
        <v>0</v>
      </c>
      <c r="J160" s="322">
        <v>339532.45</v>
      </c>
      <c r="K160" s="504"/>
      <c r="L160" s="384"/>
      <c r="M160" s="682">
        <v>0</v>
      </c>
      <c r="N160" s="696">
        <f>ROUND(N157+N158+N159,2)</f>
        <v>189998.77</v>
      </c>
      <c r="O160" s="695"/>
      <c r="P160" s="384"/>
      <c r="Q160" s="149">
        <f t="shared" si="187"/>
        <v>0</v>
      </c>
      <c r="R160" s="322">
        <f>+J160+N160</f>
        <v>529531.22</v>
      </c>
      <c r="S160" s="504"/>
      <c r="T160" s="385"/>
      <c r="U160" s="149">
        <f t="shared" si="188"/>
        <v>0</v>
      </c>
      <c r="V160" s="322">
        <f t="shared" si="186"/>
        <v>11847.989999999991</v>
      </c>
      <c r="W160" s="504"/>
      <c r="Y160" s="118"/>
      <c r="Z160" s="119"/>
      <c r="AA160" s="118"/>
      <c r="AB160" s="118"/>
    </row>
    <row r="161" spans="2:28" s="104" customFormat="1" ht="15" customHeight="1" x14ac:dyDescent="0.25">
      <c r="B161" s="103" t="s">
        <v>95</v>
      </c>
      <c r="C161" s="103"/>
      <c r="D161" s="317">
        <v>0.18</v>
      </c>
      <c r="E161" s="132"/>
      <c r="F161" s="128"/>
      <c r="G161" s="318">
        <f>ROUND($D161*G$160,2)</f>
        <v>97448.26</v>
      </c>
      <c r="H161" s="142"/>
      <c r="I161" s="144"/>
      <c r="J161" s="319">
        <v>61115.839999999997</v>
      </c>
      <c r="K161" s="504"/>
      <c r="L161" s="384"/>
      <c r="M161" s="682"/>
      <c r="N161" s="694">
        <f>ROUND($D161*N$160,2)</f>
        <v>34199.78</v>
      </c>
      <c r="O161" s="695"/>
      <c r="P161" s="134"/>
      <c r="Q161" s="149"/>
      <c r="R161" s="319">
        <f t="shared" ref="R161:R163" si="189">+J161+N161</f>
        <v>95315.62</v>
      </c>
      <c r="S161" s="504"/>
      <c r="T161" s="385"/>
      <c r="U161" s="149"/>
      <c r="V161" s="319">
        <f t="shared" si="186"/>
        <v>2132.6399999999994</v>
      </c>
      <c r="W161" s="504"/>
      <c r="Y161" s="118"/>
      <c r="Z161" s="119"/>
      <c r="AA161" s="118"/>
      <c r="AB161" s="118"/>
    </row>
    <row r="162" spans="2:28" s="104" customFormat="1" ht="15" customHeight="1" x14ac:dyDescent="0.25">
      <c r="B162" s="236" t="s">
        <v>205</v>
      </c>
      <c r="C162" s="236"/>
      <c r="D162" s="313"/>
      <c r="E162" s="314"/>
      <c r="F162" s="228"/>
      <c r="G162" s="321">
        <f>ROUND(G160+G161,2)</f>
        <v>638827.47</v>
      </c>
      <c r="H162" s="142"/>
      <c r="I162" s="144">
        <v>0</v>
      </c>
      <c r="J162" s="322">
        <v>400648.29</v>
      </c>
      <c r="K162" s="504"/>
      <c r="L162" s="384"/>
      <c r="M162" s="682">
        <v>0</v>
      </c>
      <c r="N162" s="696">
        <f>ROUND(N160+N161,2)</f>
        <v>224198.55</v>
      </c>
      <c r="O162" s="695"/>
      <c r="P162" s="384"/>
      <c r="Q162" s="149">
        <f t="shared" ref="Q162:Q163" si="190">+I162+M162</f>
        <v>0</v>
      </c>
      <c r="R162" s="322">
        <f t="shared" si="189"/>
        <v>624846.84</v>
      </c>
      <c r="S162" s="504"/>
      <c r="T162" s="385"/>
      <c r="U162" s="149">
        <f t="shared" ref="U162:U163" si="191">+E162-Q162</f>
        <v>0</v>
      </c>
      <c r="V162" s="322">
        <f t="shared" si="186"/>
        <v>13980.630000000005</v>
      </c>
      <c r="W162" s="504"/>
      <c r="Y162" s="118"/>
      <c r="Z162" s="119"/>
      <c r="AA162" s="118"/>
      <c r="AB162" s="118"/>
    </row>
    <row r="163" spans="2:28" s="104" customFormat="1" ht="15" customHeight="1" x14ac:dyDescent="0.25">
      <c r="B163" s="103" t="s">
        <v>206</v>
      </c>
      <c r="C163" s="103"/>
      <c r="D163" s="122"/>
      <c r="E163" s="132"/>
      <c r="F163" s="128"/>
      <c r="G163" s="323">
        <f>ROUND(G157/$G157,4)</f>
        <v>1</v>
      </c>
      <c r="H163" s="142"/>
      <c r="I163" s="146">
        <v>0</v>
      </c>
      <c r="J163" s="324">
        <v>0.62719999999999998</v>
      </c>
      <c r="K163" s="505"/>
      <c r="L163" s="384"/>
      <c r="M163" s="688">
        <v>0</v>
      </c>
      <c r="N163" s="697">
        <f>ROUND(N157/$G157,4)</f>
        <v>0.35099999999999998</v>
      </c>
      <c r="O163" s="698"/>
      <c r="P163" s="384"/>
      <c r="Q163" s="150">
        <f t="shared" si="190"/>
        <v>0</v>
      </c>
      <c r="R163" s="324">
        <f t="shared" si="189"/>
        <v>0.97819999999999996</v>
      </c>
      <c r="S163" s="505"/>
      <c r="T163" s="385"/>
      <c r="U163" s="150">
        <f t="shared" si="191"/>
        <v>0</v>
      </c>
      <c r="V163" s="324">
        <f t="shared" si="186"/>
        <v>2.1800000000000042E-2</v>
      </c>
      <c r="W163" s="505"/>
      <c r="Y163" s="118"/>
      <c r="Z163" s="119"/>
      <c r="AA163" s="118"/>
      <c r="AB163" s="118"/>
    </row>
    <row r="164" spans="2:28" s="105" customFormat="1" ht="15" customHeight="1" x14ac:dyDescent="0.25">
      <c r="B164" s="103"/>
      <c r="C164" s="103"/>
      <c r="D164" s="122"/>
      <c r="E164" s="123"/>
      <c r="F164" s="103"/>
      <c r="G164" s="124"/>
      <c r="H164" s="124"/>
      <c r="I164" s="124"/>
      <c r="J164" s="124"/>
      <c r="K164" s="124"/>
      <c r="L164" s="124"/>
      <c r="M164" s="124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6"/>
      <c r="Y164" s="118"/>
      <c r="Z164" s="119"/>
      <c r="AA164" s="118"/>
    </row>
    <row r="165" spans="2:28" ht="15" customHeight="1" x14ac:dyDescent="0.25"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Y165" s="118"/>
      <c r="Z165" s="119"/>
      <c r="AA165" s="118"/>
    </row>
    <row r="166" spans="2:28" ht="15" customHeight="1" x14ac:dyDescent="0.25">
      <c r="N166" s="119"/>
      <c r="O166" s="119"/>
      <c r="P166" s="119"/>
    </row>
    <row r="167" spans="2:28" s="105" customFormat="1" ht="15" customHeight="1" x14ac:dyDescent="0.25">
      <c r="B167" s="103"/>
      <c r="C167" s="103"/>
      <c r="D167" s="122"/>
      <c r="E167" s="123"/>
      <c r="F167" s="103"/>
      <c r="G167" s="119"/>
      <c r="H167" s="119"/>
      <c r="I167" s="119"/>
      <c r="J167" s="119"/>
      <c r="K167" s="119"/>
      <c r="L167" s="119"/>
      <c r="M167" s="119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03"/>
      <c r="Y167" s="103"/>
      <c r="Z167" s="127"/>
      <c r="AA167" s="104"/>
    </row>
    <row r="168" spans="2:28" s="105" customFormat="1" ht="15" customHeight="1" x14ac:dyDescent="0.25">
      <c r="B168" s="103"/>
      <c r="C168" s="103"/>
      <c r="D168" s="122"/>
      <c r="E168" s="123"/>
      <c r="F168" s="103"/>
      <c r="G168" s="119"/>
      <c r="H168" s="119"/>
      <c r="I168" s="119"/>
      <c r="J168" s="119"/>
      <c r="K168" s="119"/>
      <c r="L168" s="119"/>
      <c r="M168" s="119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4"/>
    </row>
    <row r="169" spans="2:28" s="105" customFormat="1" ht="15" customHeight="1" x14ac:dyDescent="0.25">
      <c r="B169" s="103"/>
      <c r="C169" s="103"/>
      <c r="D169" s="122"/>
      <c r="E169" s="123"/>
      <c r="F169" s="103"/>
      <c r="G169" s="119"/>
      <c r="H169" s="119"/>
      <c r="I169" s="119"/>
      <c r="J169" s="119"/>
      <c r="K169" s="119"/>
      <c r="L169" s="119"/>
      <c r="M169" s="119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4"/>
    </row>
    <row r="170" spans="2:28" s="105" customFormat="1" ht="15" customHeight="1" x14ac:dyDescent="0.25">
      <c r="B170" s="103"/>
      <c r="C170" s="103"/>
      <c r="D170" s="122"/>
      <c r="E170" s="123"/>
      <c r="F170" s="103"/>
      <c r="G170" s="119"/>
      <c r="H170" s="119"/>
      <c r="I170" s="119"/>
      <c r="J170" s="119"/>
      <c r="K170" s="119"/>
      <c r="L170" s="119"/>
      <c r="M170" s="119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4"/>
    </row>
  </sheetData>
  <mergeCells count="14">
    <mergeCell ref="K157:K163"/>
    <mergeCell ref="O157:O163"/>
    <mergeCell ref="S157:S163"/>
    <mergeCell ref="W157:W163"/>
    <mergeCell ref="B1:W1"/>
    <mergeCell ref="B2:W2"/>
    <mergeCell ref="C3:V3"/>
    <mergeCell ref="B10:B11"/>
    <mergeCell ref="C10:C11"/>
    <mergeCell ref="D10:G10"/>
    <mergeCell ref="I10:K10"/>
    <mergeCell ref="M10:O10"/>
    <mergeCell ref="Q10:S10"/>
    <mergeCell ref="U10:W10"/>
  </mergeCells>
  <printOptions horizontalCentered="1"/>
  <pageMargins left="0.59055118110236227" right="0.59055118110236227" top="0.78740157480314965" bottom="0.59055118110236227" header="0" footer="0"/>
  <pageSetup paperSize="9" scale="4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E2B2-25A0-4DD3-9EB4-1AF28FE34077}">
  <sheetPr>
    <tabColor rgb="FF00B050"/>
    <pageSetUpPr fitToPage="1"/>
  </sheetPr>
  <dimension ref="B1:Q169"/>
  <sheetViews>
    <sheetView showGridLines="0" showZeros="0" view="pageBreakPreview" zoomScale="80" zoomScaleNormal="100" zoomScaleSheetLayoutView="80" workbookViewId="0">
      <pane ySplit="11" topLeftCell="A150" activePane="bottomLeft" state="frozen"/>
      <selection pane="bottomLeft" activeCell="P160" sqref="P160"/>
    </sheetView>
  </sheetViews>
  <sheetFormatPr baseColWidth="10" defaultColWidth="10.33203125" defaultRowHeight="15" customHeight="1" x14ac:dyDescent="0.25"/>
  <cols>
    <col min="1" max="1" width="1.6640625" style="103" customWidth="1"/>
    <col min="2" max="2" width="15.6640625" style="103" customWidth="1"/>
    <col min="3" max="3" width="80.6640625" style="103" customWidth="1"/>
    <col min="4" max="4" width="9.109375" style="122" bestFit="1" customWidth="1"/>
    <col min="5" max="5" width="10.6640625" style="123" customWidth="1"/>
    <col min="6" max="6" width="11.44140625" style="103" bestFit="1" customWidth="1"/>
    <col min="7" max="7" width="16" style="119" bestFit="1" customWidth="1"/>
    <col min="8" max="8" width="0.88671875" style="119" customWidth="1"/>
    <col min="9" max="9" width="12.6640625" style="119" customWidth="1"/>
    <col min="10" max="10" width="12.6640625" style="103" customWidth="1"/>
    <col min="11" max="11" width="0.88671875" style="119" customWidth="1"/>
    <col min="12" max="13" width="12.6640625" style="103" customWidth="1"/>
    <col min="14" max="14" width="1.6640625" style="104" customWidth="1"/>
    <col min="15" max="15" width="10.33203125" style="103"/>
    <col min="16" max="16" width="10.109375" style="103" bestFit="1" customWidth="1"/>
    <col min="17" max="16384" width="10.33203125" style="103"/>
  </cols>
  <sheetData>
    <row r="1" spans="2:17" s="105" customFormat="1" ht="30" customHeight="1" thickBot="1" x14ac:dyDescent="0.3">
      <c r="B1" s="617" t="s">
        <v>612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9"/>
      <c r="N1" s="104"/>
      <c r="O1" s="103"/>
      <c r="P1" s="103"/>
      <c r="Q1" s="103"/>
    </row>
    <row r="2" spans="2:17" s="105" customFormat="1" ht="1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</row>
    <row r="3" spans="2:17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2:17" s="105" customFormat="1" ht="15" customHeight="1" x14ac:dyDescent="0.25">
      <c r="B4" s="236" t="s">
        <v>583</v>
      </c>
      <c r="C4" s="103" t="str">
        <f>+FT!$E$15</f>
        <v>CONSORCIO EJECUTOR LOS PINOS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2:17" s="105" customFormat="1" ht="15" customHeight="1" x14ac:dyDescent="0.25">
      <c r="B5" s="236" t="s">
        <v>630</v>
      </c>
      <c r="C5" s="103" t="str">
        <f>+FT!$E$34</f>
        <v>PROYECTA PCL S.A.C</v>
      </c>
      <c r="D5" s="104" t="s">
        <v>212</v>
      </c>
      <c r="E5" s="103"/>
      <c r="F5" s="103"/>
      <c r="G5" s="251">
        <f>+FT!$E$24</f>
        <v>638827.47</v>
      </c>
      <c r="H5" s="103"/>
      <c r="I5" s="103"/>
      <c r="J5" s="103"/>
      <c r="K5" s="103"/>
      <c r="L5" s="103"/>
      <c r="M5" s="103"/>
    </row>
    <row r="6" spans="2:17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4" t="s">
        <v>215</v>
      </c>
      <c r="E6" s="103"/>
      <c r="F6" s="103"/>
      <c r="G6" s="251">
        <f>+FT!$E$25</f>
        <v>638827.47</v>
      </c>
      <c r="H6" s="103"/>
      <c r="I6" s="103"/>
      <c r="J6" s="103"/>
      <c r="K6" s="103"/>
      <c r="L6" s="103"/>
      <c r="M6" s="103"/>
    </row>
    <row r="7" spans="2:17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3" t="s">
        <v>214</v>
      </c>
      <c r="E7" s="103"/>
      <c r="G7" s="103" t="str">
        <f>+FT!$E$31</f>
        <v>SESENTA (60) DÍAS CALENDARIOS</v>
      </c>
      <c r="H7" s="103"/>
      <c r="I7" s="103"/>
      <c r="J7" s="103"/>
      <c r="K7" s="103"/>
      <c r="L7" s="103"/>
      <c r="M7" s="103"/>
    </row>
    <row r="8" spans="2:17" ht="7.5" customHeight="1" thickBot="1" x14ac:dyDescent="0.3">
      <c r="D8" s="103"/>
      <c r="E8" s="103"/>
      <c r="G8" s="103"/>
      <c r="H8" s="103"/>
      <c r="I8" s="103"/>
      <c r="K8" s="103"/>
    </row>
    <row r="9" spans="2:17" ht="15" customHeight="1" x14ac:dyDescent="0.25">
      <c r="B9" s="643" t="s">
        <v>10</v>
      </c>
      <c r="C9" s="644" t="s">
        <v>16</v>
      </c>
      <c r="D9" s="644" t="s">
        <v>204</v>
      </c>
      <c r="E9" s="644"/>
      <c r="F9" s="644"/>
      <c r="G9" s="645"/>
      <c r="H9" s="628"/>
      <c r="I9" s="654">
        <v>46204</v>
      </c>
      <c r="J9" s="655"/>
      <c r="K9" s="628"/>
      <c r="L9" s="629">
        <v>46204</v>
      </c>
      <c r="M9" s="630"/>
    </row>
    <row r="10" spans="2:17" ht="15" customHeight="1" x14ac:dyDescent="0.25">
      <c r="B10" s="646"/>
      <c r="C10" s="647"/>
      <c r="D10" s="647"/>
      <c r="E10" s="647"/>
      <c r="F10" s="647"/>
      <c r="G10" s="648"/>
      <c r="H10" s="628"/>
      <c r="I10" s="656">
        <v>46204</v>
      </c>
      <c r="J10" s="657">
        <v>46234</v>
      </c>
      <c r="K10" s="628"/>
      <c r="L10" s="632">
        <v>46204</v>
      </c>
      <c r="M10" s="633">
        <v>46234</v>
      </c>
    </row>
    <row r="11" spans="2:17" ht="15" customHeight="1" thickBot="1" x14ac:dyDescent="0.3">
      <c r="B11" s="649"/>
      <c r="C11" s="650"/>
      <c r="D11" s="651" t="s">
        <v>50</v>
      </c>
      <c r="E11" s="652" t="s">
        <v>1</v>
      </c>
      <c r="F11" s="651" t="s">
        <v>55</v>
      </c>
      <c r="G11" s="653" t="s">
        <v>2</v>
      </c>
      <c r="H11" s="635"/>
      <c r="I11" s="658" t="s">
        <v>168</v>
      </c>
      <c r="J11" s="659" t="s">
        <v>100</v>
      </c>
      <c r="K11" s="635"/>
      <c r="L11" s="636" t="s">
        <v>168</v>
      </c>
      <c r="M11" s="637" t="s">
        <v>100</v>
      </c>
    </row>
    <row r="12" spans="2:17" s="107" customFormat="1" ht="15" customHeight="1" x14ac:dyDescent="0.25">
      <c r="B12" s="620" t="s">
        <v>6</v>
      </c>
      <c r="C12" s="621" t="s">
        <v>313</v>
      </c>
      <c r="D12" s="622"/>
      <c r="E12" s="623"/>
      <c r="F12" s="624"/>
      <c r="G12" s="383"/>
      <c r="H12" s="375"/>
      <c r="I12" s="625"/>
      <c r="J12" s="626"/>
      <c r="K12" s="375"/>
      <c r="L12" s="264"/>
      <c r="M12" s="264"/>
      <c r="N12" s="108"/>
      <c r="O12" s="108"/>
    </row>
    <row r="13" spans="2:17" s="110" customFormat="1" ht="15" customHeight="1" x14ac:dyDescent="0.25">
      <c r="B13" s="441" t="s">
        <v>171</v>
      </c>
      <c r="C13" s="386" t="s">
        <v>314</v>
      </c>
      <c r="D13" s="380"/>
      <c r="E13" s="381"/>
      <c r="F13" s="382"/>
      <c r="G13" s="305"/>
      <c r="H13" s="376"/>
      <c r="I13" s="151"/>
      <c r="J13" s="152"/>
      <c r="K13" s="376"/>
      <c r="L13" s="152"/>
      <c r="M13" s="152"/>
      <c r="N13" s="111"/>
      <c r="O13" s="111"/>
    </row>
    <row r="14" spans="2:17" s="113" customFormat="1" ht="15" customHeight="1" x14ac:dyDescent="0.25">
      <c r="B14" s="442" t="s">
        <v>315</v>
      </c>
      <c r="C14" s="387" t="s">
        <v>224</v>
      </c>
      <c r="D14" s="380"/>
      <c r="E14" s="381"/>
      <c r="F14" s="382"/>
      <c r="G14" s="305"/>
      <c r="H14" s="376"/>
      <c r="I14" s="151"/>
      <c r="J14" s="152"/>
      <c r="K14" s="376"/>
      <c r="L14" s="152"/>
      <c r="M14" s="152"/>
      <c r="N14" s="114"/>
      <c r="O14" s="114"/>
    </row>
    <row r="15" spans="2:17" s="116" customFormat="1" ht="15" customHeight="1" x14ac:dyDescent="0.25">
      <c r="B15" s="443" t="s">
        <v>316</v>
      </c>
      <c r="C15" s="388" t="s">
        <v>317</v>
      </c>
      <c r="D15" s="380" t="s">
        <v>318</v>
      </c>
      <c r="E15" s="381">
        <v>2</v>
      </c>
      <c r="F15" s="382">
        <v>2400</v>
      </c>
      <c r="G15" s="305">
        <f>ROUND(E15*F15,2)</f>
        <v>4800</v>
      </c>
      <c r="H15" s="376"/>
      <c r="I15" s="151">
        <f>ROUND(J15/$G15,4)</f>
        <v>0.33329999999999999</v>
      </c>
      <c r="J15" s="152">
        <v>1600</v>
      </c>
      <c r="K15" s="376"/>
      <c r="L15" s="152">
        <v>1</v>
      </c>
      <c r="M15" s="152">
        <v>1152</v>
      </c>
      <c r="N15" s="117"/>
      <c r="O15" s="117"/>
    </row>
    <row r="16" spans="2:17" s="104" customFormat="1" ht="15" customHeight="1" x14ac:dyDescent="0.25">
      <c r="B16" s="443" t="s">
        <v>319</v>
      </c>
      <c r="C16" s="389" t="s">
        <v>320</v>
      </c>
      <c r="D16" s="380" t="s">
        <v>233</v>
      </c>
      <c r="E16" s="381">
        <v>1</v>
      </c>
      <c r="F16" s="382">
        <v>1205.49</v>
      </c>
      <c r="G16" s="305">
        <f t="shared" ref="G16:G17" si="0">ROUND(E16*F16,2)</f>
        <v>1205.49</v>
      </c>
      <c r="H16" s="376"/>
      <c r="I16" s="151">
        <f t="shared" ref="I16:I17" si="1">ROUND(J16/$G16,4)</f>
        <v>0</v>
      </c>
      <c r="J16" s="152"/>
      <c r="K16" s="376"/>
      <c r="L16" s="152">
        <v>1</v>
      </c>
      <c r="M16" s="152">
        <v>0</v>
      </c>
      <c r="N16" s="118"/>
      <c r="O16" s="118"/>
    </row>
    <row r="17" spans="2:15" s="104" customFormat="1" ht="15" customHeight="1" x14ac:dyDescent="0.25">
      <c r="B17" s="443" t="s">
        <v>321</v>
      </c>
      <c r="C17" s="388" t="s">
        <v>322</v>
      </c>
      <c r="D17" s="380" t="s">
        <v>318</v>
      </c>
      <c r="E17" s="381">
        <v>2</v>
      </c>
      <c r="F17" s="382">
        <v>850</v>
      </c>
      <c r="G17" s="305">
        <f t="shared" si="0"/>
        <v>1700</v>
      </c>
      <c r="H17" s="376"/>
      <c r="I17" s="151">
        <f t="shared" si="1"/>
        <v>0.51670000000000005</v>
      </c>
      <c r="J17" s="152">
        <v>878.33333333333337</v>
      </c>
      <c r="K17" s="376"/>
      <c r="L17" s="152">
        <v>1</v>
      </c>
      <c r="M17" s="152">
        <v>408</v>
      </c>
      <c r="N17" s="118"/>
      <c r="O17" s="118"/>
    </row>
    <row r="18" spans="2:15" s="116" customFormat="1" ht="15" customHeight="1" x14ac:dyDescent="0.25">
      <c r="B18" s="442" t="s">
        <v>323</v>
      </c>
      <c r="C18" s="387" t="s">
        <v>225</v>
      </c>
      <c r="D18" s="390"/>
      <c r="E18" s="391"/>
      <c r="F18" s="392"/>
      <c r="G18" s="305">
        <f>ROUND(E18*F18,2)</f>
        <v>0</v>
      </c>
      <c r="H18" s="376"/>
      <c r="I18" s="151"/>
      <c r="J18" s="152"/>
      <c r="K18" s="376"/>
      <c r="L18" s="152"/>
      <c r="M18" s="152"/>
      <c r="N18" s="117"/>
      <c r="O18" s="117"/>
    </row>
    <row r="19" spans="2:15" s="104" customFormat="1" ht="15" customHeight="1" x14ac:dyDescent="0.25">
      <c r="B19" s="443" t="s">
        <v>324</v>
      </c>
      <c r="C19" s="388" t="s">
        <v>229</v>
      </c>
      <c r="D19" s="380" t="s">
        <v>101</v>
      </c>
      <c r="E19" s="381">
        <v>1932.21</v>
      </c>
      <c r="F19" s="382">
        <v>1.06</v>
      </c>
      <c r="G19" s="305">
        <f t="shared" ref="G19:G24" si="2">ROUND(E19*F19,2)</f>
        <v>2048.14</v>
      </c>
      <c r="H19" s="376"/>
      <c r="I19" s="151">
        <f t="shared" ref="I19:I21" si="3">ROUND(J19/$G19,4)</f>
        <v>0</v>
      </c>
      <c r="J19" s="152"/>
      <c r="K19" s="376"/>
      <c r="L19" s="152">
        <v>1932.21</v>
      </c>
      <c r="M19" s="152">
        <v>0</v>
      </c>
      <c r="N19" s="118"/>
      <c r="O19" s="118"/>
    </row>
    <row r="20" spans="2:15" s="104" customFormat="1" ht="15" customHeight="1" x14ac:dyDescent="0.25">
      <c r="B20" s="443" t="s">
        <v>325</v>
      </c>
      <c r="C20" s="388" t="s">
        <v>230</v>
      </c>
      <c r="D20" s="380" t="s">
        <v>101</v>
      </c>
      <c r="E20" s="381">
        <v>1932.21</v>
      </c>
      <c r="F20" s="382">
        <v>4.32</v>
      </c>
      <c r="G20" s="305">
        <f t="shared" si="2"/>
        <v>8347.15</v>
      </c>
      <c r="H20" s="376"/>
      <c r="I20" s="151">
        <f t="shared" si="3"/>
        <v>0.45390000000000003</v>
      </c>
      <c r="J20" s="152">
        <v>3789.15</v>
      </c>
      <c r="K20" s="376"/>
      <c r="L20" s="152">
        <v>1932.21</v>
      </c>
      <c r="M20" s="152">
        <v>0</v>
      </c>
      <c r="N20" s="118"/>
      <c r="O20" s="118"/>
    </row>
    <row r="21" spans="2:15" s="116" customFormat="1" ht="15" customHeight="1" x14ac:dyDescent="0.25">
      <c r="B21" s="443" t="s">
        <v>326</v>
      </c>
      <c r="C21" s="388" t="s">
        <v>327</v>
      </c>
      <c r="D21" s="380" t="s">
        <v>5</v>
      </c>
      <c r="E21" s="381">
        <v>1</v>
      </c>
      <c r="F21" s="382">
        <v>2500</v>
      </c>
      <c r="G21" s="305">
        <f t="shared" si="2"/>
        <v>2500</v>
      </c>
      <c r="H21" s="376"/>
      <c r="I21" s="151">
        <f t="shared" si="3"/>
        <v>0</v>
      </c>
      <c r="J21" s="152"/>
      <c r="K21" s="376"/>
      <c r="L21" s="152">
        <v>1</v>
      </c>
      <c r="M21" s="152">
        <v>0</v>
      </c>
      <c r="N21" s="117"/>
      <c r="O21" s="117"/>
    </row>
    <row r="22" spans="2:15" s="104" customFormat="1" ht="15" customHeight="1" x14ac:dyDescent="0.25">
      <c r="B22" s="442" t="s">
        <v>328</v>
      </c>
      <c r="C22" s="387" t="s">
        <v>329</v>
      </c>
      <c r="D22" s="390"/>
      <c r="E22" s="391"/>
      <c r="F22" s="392"/>
      <c r="G22" s="305">
        <f t="shared" si="2"/>
        <v>0</v>
      </c>
      <c r="H22" s="377"/>
      <c r="I22" s="151"/>
      <c r="J22" s="152"/>
      <c r="K22" s="377"/>
      <c r="L22" s="152"/>
      <c r="M22" s="152"/>
      <c r="N22" s="118"/>
      <c r="O22" s="118"/>
    </row>
    <row r="23" spans="2:15" s="116" customFormat="1" ht="15" customHeight="1" x14ac:dyDescent="0.25">
      <c r="B23" s="443" t="s">
        <v>330</v>
      </c>
      <c r="C23" s="388" t="s">
        <v>331</v>
      </c>
      <c r="D23" s="380" t="s">
        <v>101</v>
      </c>
      <c r="E23" s="381">
        <v>135.5</v>
      </c>
      <c r="F23" s="382">
        <v>21.33</v>
      </c>
      <c r="G23" s="305">
        <f t="shared" si="2"/>
        <v>2890.22</v>
      </c>
      <c r="H23" s="376"/>
      <c r="I23" s="151">
        <f t="shared" ref="I23:I24" si="4">ROUND(J23/$G23,4)</f>
        <v>0</v>
      </c>
      <c r="J23" s="152"/>
      <c r="K23" s="376"/>
      <c r="L23" s="152">
        <v>135.5</v>
      </c>
      <c r="M23" s="152">
        <v>0</v>
      </c>
      <c r="N23" s="117"/>
      <c r="O23" s="117"/>
    </row>
    <row r="24" spans="2:15" s="120" customFormat="1" ht="15" customHeight="1" x14ac:dyDescent="0.25">
      <c r="B24" s="443" t="s">
        <v>332</v>
      </c>
      <c r="C24" s="389" t="s">
        <v>333</v>
      </c>
      <c r="D24" s="380" t="s">
        <v>234</v>
      </c>
      <c r="E24" s="381">
        <v>20.329999999999998</v>
      </c>
      <c r="F24" s="382">
        <v>18.98</v>
      </c>
      <c r="G24" s="305">
        <f t="shared" si="2"/>
        <v>385.86</v>
      </c>
      <c r="H24" s="377"/>
      <c r="I24" s="151">
        <f t="shared" si="4"/>
        <v>0</v>
      </c>
      <c r="J24" s="152"/>
      <c r="K24" s="377"/>
      <c r="L24" s="152">
        <v>20.329999999999998</v>
      </c>
      <c r="M24" s="152">
        <v>0</v>
      </c>
      <c r="N24" s="121"/>
      <c r="O24" s="121"/>
    </row>
    <row r="25" spans="2:15" s="104" customFormat="1" ht="15" customHeight="1" x14ac:dyDescent="0.25">
      <c r="B25" s="442" t="s">
        <v>334</v>
      </c>
      <c r="C25" s="387" t="s">
        <v>335</v>
      </c>
      <c r="D25" s="390"/>
      <c r="E25" s="391"/>
      <c r="F25" s="392"/>
      <c r="G25" s="305"/>
      <c r="H25" s="376"/>
      <c r="I25" s="151"/>
      <c r="J25" s="152"/>
      <c r="K25" s="376"/>
      <c r="L25" s="152"/>
      <c r="M25" s="152"/>
      <c r="N25" s="118"/>
      <c r="O25" s="118"/>
    </row>
    <row r="26" spans="2:15" s="104" customFormat="1" ht="15" customHeight="1" x14ac:dyDescent="0.25">
      <c r="B26" s="443" t="s">
        <v>336</v>
      </c>
      <c r="C26" s="388" t="s">
        <v>337</v>
      </c>
      <c r="D26" s="380" t="s">
        <v>233</v>
      </c>
      <c r="E26" s="381">
        <v>2</v>
      </c>
      <c r="F26" s="382">
        <v>221.35</v>
      </c>
      <c r="G26" s="305">
        <f t="shared" ref="G26:G28" si="5">ROUND(E26*F26,2)</f>
        <v>442.7</v>
      </c>
      <c r="H26" s="377"/>
      <c r="I26" s="151">
        <f t="shared" ref="I26:I27" si="6">ROUND(J26/$G26,4)</f>
        <v>0</v>
      </c>
      <c r="J26" s="152"/>
      <c r="K26" s="377"/>
      <c r="L26" s="152">
        <v>2</v>
      </c>
      <c r="M26" s="152">
        <v>0</v>
      </c>
      <c r="N26" s="118"/>
      <c r="O26" s="118"/>
    </row>
    <row r="27" spans="2:15" s="104" customFormat="1" ht="15" customHeight="1" x14ac:dyDescent="0.25">
      <c r="B27" s="443" t="s">
        <v>338</v>
      </c>
      <c r="C27" s="389" t="s">
        <v>339</v>
      </c>
      <c r="D27" s="380" t="s">
        <v>5</v>
      </c>
      <c r="E27" s="381">
        <v>1</v>
      </c>
      <c r="F27" s="382">
        <v>221.16</v>
      </c>
      <c r="G27" s="305">
        <f t="shared" si="5"/>
        <v>221.16</v>
      </c>
      <c r="H27" s="377"/>
      <c r="I27" s="151">
        <f t="shared" si="6"/>
        <v>0</v>
      </c>
      <c r="J27" s="152"/>
      <c r="K27" s="377"/>
      <c r="L27" s="152">
        <v>1</v>
      </c>
      <c r="M27" s="152">
        <v>0</v>
      </c>
      <c r="N27" s="118"/>
      <c r="O27" s="118"/>
    </row>
    <row r="28" spans="2:15" s="104" customFormat="1" ht="15" customHeight="1" x14ac:dyDescent="0.25">
      <c r="B28" s="441" t="s">
        <v>340</v>
      </c>
      <c r="C28" s="386" t="s">
        <v>341</v>
      </c>
      <c r="D28" s="393"/>
      <c r="E28" s="394"/>
      <c r="F28" s="395"/>
      <c r="G28" s="305">
        <f t="shared" si="5"/>
        <v>0</v>
      </c>
      <c r="H28" s="377"/>
      <c r="I28" s="151"/>
      <c r="J28" s="152"/>
      <c r="K28" s="377"/>
      <c r="L28" s="152"/>
      <c r="M28" s="152"/>
      <c r="N28" s="118"/>
      <c r="O28" s="118"/>
    </row>
    <row r="29" spans="2:15" s="104" customFormat="1" ht="15" customHeight="1" x14ac:dyDescent="0.25">
      <c r="B29" s="442" t="s">
        <v>342</v>
      </c>
      <c r="C29" s="387" t="s">
        <v>343</v>
      </c>
      <c r="D29" s="390"/>
      <c r="E29" s="391"/>
      <c r="F29" s="392"/>
      <c r="G29" s="306"/>
      <c r="H29" s="377"/>
      <c r="I29" s="151"/>
      <c r="J29" s="152"/>
      <c r="K29" s="377"/>
      <c r="L29" s="152"/>
      <c r="M29" s="152"/>
      <c r="N29" s="118"/>
      <c r="O29" s="118"/>
    </row>
    <row r="30" spans="2:15" s="104" customFormat="1" ht="15" customHeight="1" x14ac:dyDescent="0.25">
      <c r="B30" s="443" t="s">
        <v>344</v>
      </c>
      <c r="C30" s="388" t="s">
        <v>345</v>
      </c>
      <c r="D30" s="380" t="s">
        <v>234</v>
      </c>
      <c r="E30" s="381">
        <v>590.54</v>
      </c>
      <c r="F30" s="382">
        <v>10.47</v>
      </c>
      <c r="G30" s="305">
        <f t="shared" ref="G30:G33" si="7">ROUND(E30*F30,2)</f>
        <v>6182.95</v>
      </c>
      <c r="H30" s="377"/>
      <c r="I30" s="151">
        <f t="shared" ref="I30:I32" si="8">ROUND(J30/$G30,4)</f>
        <v>0</v>
      </c>
      <c r="J30" s="152"/>
      <c r="K30" s="377"/>
      <c r="L30" s="152">
        <v>590.54</v>
      </c>
      <c r="M30" s="152">
        <v>0</v>
      </c>
      <c r="N30" s="118"/>
      <c r="O30" s="118"/>
    </row>
    <row r="31" spans="2:15" s="104" customFormat="1" ht="15" customHeight="1" x14ac:dyDescent="0.25">
      <c r="B31" s="443" t="s">
        <v>346</v>
      </c>
      <c r="C31" s="388" t="s">
        <v>347</v>
      </c>
      <c r="D31" s="380" t="s">
        <v>234</v>
      </c>
      <c r="E31" s="381">
        <v>51.64</v>
      </c>
      <c r="F31" s="382">
        <v>19.04</v>
      </c>
      <c r="G31" s="305">
        <f t="shared" si="7"/>
        <v>983.23</v>
      </c>
      <c r="H31" s="377"/>
      <c r="I31" s="151">
        <f t="shared" si="8"/>
        <v>0</v>
      </c>
      <c r="J31" s="152"/>
      <c r="K31" s="377"/>
      <c r="L31" s="152">
        <v>51.64</v>
      </c>
      <c r="M31" s="152">
        <v>0</v>
      </c>
      <c r="N31" s="118"/>
      <c r="O31" s="118"/>
    </row>
    <row r="32" spans="2:15" s="104" customFormat="1" ht="15" customHeight="1" x14ac:dyDescent="0.25">
      <c r="B32" s="443" t="s">
        <v>348</v>
      </c>
      <c r="C32" s="389" t="s">
        <v>349</v>
      </c>
      <c r="D32" s="380" t="s">
        <v>234</v>
      </c>
      <c r="E32" s="381">
        <v>738.18</v>
      </c>
      <c r="F32" s="382">
        <v>18.98</v>
      </c>
      <c r="G32" s="305">
        <f t="shared" si="7"/>
        <v>14010.66</v>
      </c>
      <c r="H32" s="377"/>
      <c r="I32" s="151">
        <f t="shared" si="8"/>
        <v>1</v>
      </c>
      <c r="J32" s="152">
        <v>14010.66</v>
      </c>
      <c r="K32" s="377"/>
      <c r="L32" s="152">
        <v>738.18</v>
      </c>
      <c r="M32" s="152">
        <v>0</v>
      </c>
      <c r="N32" s="118"/>
      <c r="O32" s="118"/>
    </row>
    <row r="33" spans="2:15" s="104" customFormat="1" ht="15" customHeight="1" x14ac:dyDescent="0.25">
      <c r="B33" s="442" t="s">
        <v>350</v>
      </c>
      <c r="C33" s="387" t="s">
        <v>351</v>
      </c>
      <c r="D33" s="390"/>
      <c r="E33" s="391"/>
      <c r="F33" s="392"/>
      <c r="G33" s="305">
        <f t="shared" si="7"/>
        <v>0</v>
      </c>
      <c r="H33" s="377"/>
      <c r="I33" s="151"/>
      <c r="J33" s="152"/>
      <c r="K33" s="377"/>
      <c r="L33" s="152"/>
      <c r="M33" s="152"/>
      <c r="N33" s="118"/>
      <c r="O33" s="118"/>
    </row>
    <row r="34" spans="2:15" s="104" customFormat="1" ht="15" customHeight="1" x14ac:dyDescent="0.25">
      <c r="B34" s="443" t="s">
        <v>352</v>
      </c>
      <c r="C34" s="388" t="s">
        <v>353</v>
      </c>
      <c r="D34" s="380" t="s">
        <v>101</v>
      </c>
      <c r="E34" s="381">
        <v>910.14</v>
      </c>
      <c r="F34" s="382">
        <v>31.15</v>
      </c>
      <c r="G34" s="305">
        <f>ROUND(E34*F34,2)</f>
        <v>28350.86</v>
      </c>
      <c r="H34" s="377"/>
      <c r="I34" s="151">
        <f>ROUND(J34/$G34,4)</f>
        <v>0</v>
      </c>
      <c r="J34" s="152"/>
      <c r="K34" s="377"/>
      <c r="L34" s="152">
        <v>910.14</v>
      </c>
      <c r="M34" s="152">
        <v>0</v>
      </c>
      <c r="N34" s="118"/>
      <c r="O34" s="118"/>
    </row>
    <row r="35" spans="2:15" s="104" customFormat="1" ht="15" customHeight="1" x14ac:dyDescent="0.25">
      <c r="B35" s="442" t="s">
        <v>354</v>
      </c>
      <c r="C35" s="387" t="s">
        <v>355</v>
      </c>
      <c r="D35" s="390"/>
      <c r="E35" s="391"/>
      <c r="F35" s="392"/>
      <c r="G35" s="305">
        <f>ROUND(E35*F35,2)</f>
        <v>0</v>
      </c>
      <c r="H35" s="377"/>
      <c r="I35" s="151"/>
      <c r="J35" s="152"/>
      <c r="K35" s="377"/>
      <c r="L35" s="152"/>
      <c r="M35" s="152"/>
      <c r="N35" s="118"/>
      <c r="O35" s="118"/>
    </row>
    <row r="36" spans="2:15" s="104" customFormat="1" ht="15" customHeight="1" x14ac:dyDescent="0.25">
      <c r="B36" s="443" t="s">
        <v>356</v>
      </c>
      <c r="C36" s="388" t="s">
        <v>357</v>
      </c>
      <c r="D36" s="380" t="s">
        <v>101</v>
      </c>
      <c r="E36" s="381">
        <v>910.14</v>
      </c>
      <c r="F36" s="382">
        <v>5.54</v>
      </c>
      <c r="G36" s="305">
        <f>ROUND(E36*F36,2)</f>
        <v>5042.18</v>
      </c>
      <c r="H36" s="377"/>
      <c r="I36" s="151">
        <f>ROUND(J36/$G36,4)</f>
        <v>0</v>
      </c>
      <c r="J36" s="152"/>
      <c r="K36" s="377"/>
      <c r="L36" s="152">
        <v>910.14</v>
      </c>
      <c r="M36" s="152">
        <v>0</v>
      </c>
      <c r="N36" s="118"/>
      <c r="O36" s="118"/>
    </row>
    <row r="37" spans="2:15" s="104" customFormat="1" ht="15" customHeight="1" x14ac:dyDescent="0.25">
      <c r="B37" s="442" t="s">
        <v>358</v>
      </c>
      <c r="C37" s="387" t="s">
        <v>359</v>
      </c>
      <c r="D37" s="390"/>
      <c r="E37" s="391"/>
      <c r="F37" s="392"/>
      <c r="G37" s="305">
        <f t="shared" ref="G37:G45" si="9">ROUND(E37*F37,2)</f>
        <v>0</v>
      </c>
      <c r="H37" s="377"/>
      <c r="I37" s="151"/>
      <c r="J37" s="152"/>
      <c r="K37" s="377"/>
      <c r="L37" s="152"/>
      <c r="M37" s="152"/>
      <c r="N37" s="118"/>
      <c r="O37" s="118"/>
    </row>
    <row r="38" spans="2:15" s="104" customFormat="1" ht="15" customHeight="1" x14ac:dyDescent="0.25">
      <c r="B38" s="443" t="s">
        <v>360</v>
      </c>
      <c r="C38" s="388" t="s">
        <v>361</v>
      </c>
      <c r="D38" s="380" t="s">
        <v>101</v>
      </c>
      <c r="E38" s="381">
        <v>127.29</v>
      </c>
      <c r="F38" s="382">
        <v>63.41</v>
      </c>
      <c r="G38" s="305">
        <f t="shared" si="9"/>
        <v>8071.46</v>
      </c>
      <c r="H38" s="377"/>
      <c r="I38" s="151">
        <f t="shared" ref="I38:I45" si="10">ROUND(J38/$G38,4)</f>
        <v>0</v>
      </c>
      <c r="J38" s="152"/>
      <c r="K38" s="377"/>
      <c r="L38" s="152">
        <v>127.29</v>
      </c>
      <c r="M38" s="152">
        <v>0</v>
      </c>
      <c r="N38" s="118"/>
      <c r="O38" s="118"/>
    </row>
    <row r="39" spans="2:15" s="104" customFormat="1" ht="15" customHeight="1" x14ac:dyDescent="0.25">
      <c r="B39" s="443" t="s">
        <v>362</v>
      </c>
      <c r="C39" s="388" t="s">
        <v>363</v>
      </c>
      <c r="D39" s="380" t="s">
        <v>101</v>
      </c>
      <c r="E39" s="381">
        <v>910.14</v>
      </c>
      <c r="F39" s="382">
        <v>119.99</v>
      </c>
      <c r="G39" s="305">
        <f t="shared" si="9"/>
        <v>109207.7</v>
      </c>
      <c r="H39" s="377"/>
      <c r="I39" s="151">
        <f t="shared" si="10"/>
        <v>0.92130000000000001</v>
      </c>
      <c r="J39" s="152">
        <v>100614.38</v>
      </c>
      <c r="K39" s="377"/>
      <c r="L39" s="152">
        <v>910.14</v>
      </c>
      <c r="M39" s="152">
        <v>0</v>
      </c>
      <c r="N39" s="118"/>
      <c r="O39" s="118"/>
    </row>
    <row r="40" spans="2:15" s="104" customFormat="1" ht="15" customHeight="1" x14ac:dyDescent="0.25">
      <c r="B40" s="443" t="s">
        <v>364</v>
      </c>
      <c r="C40" s="388" t="s">
        <v>365</v>
      </c>
      <c r="D40" s="380" t="s">
        <v>101</v>
      </c>
      <c r="E40" s="381">
        <v>910.14</v>
      </c>
      <c r="F40" s="382">
        <v>2.92</v>
      </c>
      <c r="G40" s="305">
        <f t="shared" si="9"/>
        <v>2657.61</v>
      </c>
      <c r="H40" s="377"/>
      <c r="I40" s="151">
        <f t="shared" si="10"/>
        <v>1</v>
      </c>
      <c r="J40" s="152">
        <v>2657.61</v>
      </c>
      <c r="K40" s="377"/>
      <c r="L40" s="152">
        <v>910.14</v>
      </c>
      <c r="M40" s="152">
        <v>0</v>
      </c>
      <c r="N40" s="118"/>
      <c r="O40" s="118"/>
    </row>
    <row r="41" spans="2:15" s="104" customFormat="1" ht="15" customHeight="1" x14ac:dyDescent="0.25">
      <c r="B41" s="443" t="s">
        <v>366</v>
      </c>
      <c r="C41" s="389" t="s">
        <v>367</v>
      </c>
      <c r="D41" s="380" t="s">
        <v>102</v>
      </c>
      <c r="E41" s="381">
        <v>80.64</v>
      </c>
      <c r="F41" s="382">
        <v>12.14</v>
      </c>
      <c r="G41" s="305">
        <f t="shared" si="9"/>
        <v>978.97</v>
      </c>
      <c r="H41" s="377"/>
      <c r="I41" s="151">
        <f t="shared" si="10"/>
        <v>0</v>
      </c>
      <c r="J41" s="152"/>
      <c r="K41" s="377"/>
      <c r="L41" s="152">
        <v>80.64</v>
      </c>
      <c r="M41" s="152">
        <v>0</v>
      </c>
      <c r="N41" s="118"/>
      <c r="O41" s="118"/>
    </row>
    <row r="42" spans="2:15" s="104" customFormat="1" ht="15" customHeight="1" x14ac:dyDescent="0.25">
      <c r="B42" s="443" t="s">
        <v>368</v>
      </c>
      <c r="C42" s="389" t="s">
        <v>369</v>
      </c>
      <c r="D42" s="380" t="s">
        <v>102</v>
      </c>
      <c r="E42" s="381">
        <v>176.4</v>
      </c>
      <c r="F42" s="382">
        <v>42.88</v>
      </c>
      <c r="G42" s="305">
        <f t="shared" si="9"/>
        <v>7564.03</v>
      </c>
      <c r="H42" s="377"/>
      <c r="I42" s="151">
        <f t="shared" si="10"/>
        <v>0</v>
      </c>
      <c r="J42" s="152"/>
      <c r="K42" s="377"/>
      <c r="L42" s="152">
        <v>176.4</v>
      </c>
      <c r="M42" s="152">
        <v>0</v>
      </c>
      <c r="N42" s="118"/>
      <c r="O42" s="118"/>
    </row>
    <row r="43" spans="2:15" s="104" customFormat="1" ht="15" customHeight="1" x14ac:dyDescent="0.25">
      <c r="B43" s="443" t="s">
        <v>370</v>
      </c>
      <c r="C43" s="388" t="s">
        <v>371</v>
      </c>
      <c r="D43" s="380" t="s">
        <v>145</v>
      </c>
      <c r="E43" s="381">
        <v>360</v>
      </c>
      <c r="F43" s="382">
        <v>5.59</v>
      </c>
      <c r="G43" s="305">
        <f t="shared" si="9"/>
        <v>2012.4</v>
      </c>
      <c r="H43" s="377"/>
      <c r="I43" s="151">
        <f t="shared" si="10"/>
        <v>1</v>
      </c>
      <c r="J43" s="152">
        <v>2012.4</v>
      </c>
      <c r="K43" s="377"/>
      <c r="L43" s="152">
        <v>360</v>
      </c>
      <c r="M43" s="152">
        <v>0</v>
      </c>
      <c r="N43" s="118"/>
      <c r="O43" s="118"/>
    </row>
    <row r="44" spans="2:15" s="104" customFormat="1" ht="15" customHeight="1" x14ac:dyDescent="0.25">
      <c r="B44" s="443" t="s">
        <v>372</v>
      </c>
      <c r="C44" s="388" t="s">
        <v>373</v>
      </c>
      <c r="D44" s="380" t="s">
        <v>145</v>
      </c>
      <c r="E44" s="381">
        <v>255</v>
      </c>
      <c r="F44" s="382">
        <v>5.59</v>
      </c>
      <c r="G44" s="305">
        <f t="shared" si="9"/>
        <v>1425.45</v>
      </c>
      <c r="H44" s="377"/>
      <c r="I44" s="151">
        <f t="shared" si="10"/>
        <v>1</v>
      </c>
      <c r="J44" s="152">
        <v>1425.45</v>
      </c>
      <c r="K44" s="377"/>
      <c r="L44" s="152">
        <v>255</v>
      </c>
      <c r="M44" s="152">
        <v>0</v>
      </c>
      <c r="N44" s="118"/>
      <c r="O44" s="118"/>
    </row>
    <row r="45" spans="2:15" s="104" customFormat="1" ht="15" customHeight="1" x14ac:dyDescent="0.25">
      <c r="B45" s="443" t="s">
        <v>374</v>
      </c>
      <c r="C45" s="389" t="s">
        <v>375</v>
      </c>
      <c r="D45" s="380" t="s">
        <v>145</v>
      </c>
      <c r="E45" s="381">
        <v>150</v>
      </c>
      <c r="F45" s="382">
        <v>19.22</v>
      </c>
      <c r="G45" s="305">
        <f t="shared" si="9"/>
        <v>2883</v>
      </c>
      <c r="H45" s="377"/>
      <c r="I45" s="151">
        <f t="shared" si="10"/>
        <v>1</v>
      </c>
      <c r="J45" s="152">
        <v>2883</v>
      </c>
      <c r="K45" s="377"/>
      <c r="L45" s="152">
        <v>150</v>
      </c>
      <c r="M45" s="152">
        <v>0</v>
      </c>
      <c r="N45" s="118"/>
      <c r="O45" s="118"/>
    </row>
    <row r="46" spans="2:15" s="104" customFormat="1" ht="15" customHeight="1" x14ac:dyDescent="0.25">
      <c r="B46" s="442" t="s">
        <v>376</v>
      </c>
      <c r="C46" s="387" t="s">
        <v>377</v>
      </c>
      <c r="D46" s="390"/>
      <c r="E46" s="391"/>
      <c r="F46" s="392"/>
      <c r="G46" s="305">
        <f>ROUND(E46*F46,2)</f>
        <v>0</v>
      </c>
      <c r="H46" s="377"/>
      <c r="I46" s="151"/>
      <c r="J46" s="152"/>
      <c r="K46" s="377"/>
      <c r="L46" s="152"/>
      <c r="M46" s="152"/>
      <c r="N46" s="118"/>
      <c r="O46" s="118"/>
    </row>
    <row r="47" spans="2:15" s="104" customFormat="1" ht="15" customHeight="1" x14ac:dyDescent="0.25">
      <c r="B47" s="443" t="s">
        <v>378</v>
      </c>
      <c r="C47" s="388" t="s">
        <v>379</v>
      </c>
      <c r="D47" s="380" t="s">
        <v>233</v>
      </c>
      <c r="E47" s="381">
        <v>3</v>
      </c>
      <c r="F47" s="382">
        <v>471.14</v>
      </c>
      <c r="G47" s="305">
        <f>ROUND(E47*F47,2)</f>
        <v>1413.42</v>
      </c>
      <c r="H47" s="377"/>
      <c r="I47" s="151">
        <f>ROUND(J47/$G47,4)</f>
        <v>0</v>
      </c>
      <c r="J47" s="152"/>
      <c r="K47" s="377"/>
      <c r="L47" s="152">
        <v>3</v>
      </c>
      <c r="M47" s="152">
        <v>0</v>
      </c>
      <c r="N47" s="118"/>
      <c r="O47" s="118"/>
    </row>
    <row r="48" spans="2:15" s="104" customFormat="1" ht="15" customHeight="1" x14ac:dyDescent="0.25">
      <c r="B48" s="442" t="s">
        <v>380</v>
      </c>
      <c r="C48" s="387" t="s">
        <v>381</v>
      </c>
      <c r="D48" s="390"/>
      <c r="E48" s="391"/>
      <c r="F48" s="392"/>
      <c r="G48" s="305">
        <f t="shared" ref="G48:G52" si="11">ROUND(E48*F48,2)</f>
        <v>0</v>
      </c>
      <c r="H48" s="377"/>
      <c r="I48" s="151"/>
      <c r="J48" s="152"/>
      <c r="K48" s="377"/>
      <c r="L48" s="152"/>
      <c r="M48" s="152"/>
      <c r="N48" s="118"/>
      <c r="O48" s="118"/>
    </row>
    <row r="49" spans="2:15" s="104" customFormat="1" ht="15" customHeight="1" x14ac:dyDescent="0.25">
      <c r="B49" s="443" t="s">
        <v>382</v>
      </c>
      <c r="C49" s="388" t="s">
        <v>383</v>
      </c>
      <c r="D49" s="380" t="s">
        <v>101</v>
      </c>
      <c r="E49" s="381">
        <v>50.6</v>
      </c>
      <c r="F49" s="382">
        <v>38.21</v>
      </c>
      <c r="G49" s="305">
        <f t="shared" si="11"/>
        <v>1933.43</v>
      </c>
      <c r="H49" s="377"/>
      <c r="I49" s="151">
        <f t="shared" ref="I49:I51" si="12">ROUND(J49/$G49,4)</f>
        <v>1</v>
      </c>
      <c r="J49" s="152">
        <v>1933.43</v>
      </c>
      <c r="K49" s="377"/>
      <c r="L49" s="152"/>
      <c r="M49" s="152">
        <v>0</v>
      </c>
      <c r="N49" s="118"/>
      <c r="O49" s="118"/>
    </row>
    <row r="50" spans="2:15" s="104" customFormat="1" ht="15" customHeight="1" x14ac:dyDescent="0.25">
      <c r="B50" s="443" t="s">
        <v>384</v>
      </c>
      <c r="C50" s="388" t="s">
        <v>385</v>
      </c>
      <c r="D50" s="380" t="s">
        <v>145</v>
      </c>
      <c r="E50" s="381">
        <v>170</v>
      </c>
      <c r="F50" s="382">
        <v>10.43</v>
      </c>
      <c r="G50" s="305">
        <f t="shared" si="11"/>
        <v>1773.1</v>
      </c>
      <c r="H50" s="377"/>
      <c r="I50" s="151">
        <f t="shared" si="12"/>
        <v>1</v>
      </c>
      <c r="J50" s="152">
        <v>1773.1</v>
      </c>
      <c r="K50" s="377"/>
      <c r="L50" s="152"/>
      <c r="M50" s="152">
        <v>0</v>
      </c>
      <c r="N50" s="118"/>
      <c r="O50" s="118"/>
    </row>
    <row r="51" spans="2:15" s="104" customFormat="1" ht="15" customHeight="1" x14ac:dyDescent="0.25">
      <c r="B51" s="443" t="s">
        <v>386</v>
      </c>
      <c r="C51" s="388" t="s">
        <v>387</v>
      </c>
      <c r="D51" s="380" t="s">
        <v>233</v>
      </c>
      <c r="E51" s="381">
        <v>4</v>
      </c>
      <c r="F51" s="382">
        <v>361.47</v>
      </c>
      <c r="G51" s="305">
        <f t="shared" si="11"/>
        <v>1445.88</v>
      </c>
      <c r="H51" s="377"/>
      <c r="I51" s="151">
        <f t="shared" si="12"/>
        <v>1</v>
      </c>
      <c r="J51" s="152">
        <v>1445.88</v>
      </c>
      <c r="K51" s="377"/>
      <c r="L51" s="152"/>
      <c r="M51" s="152">
        <v>0</v>
      </c>
      <c r="N51" s="118"/>
      <c r="O51" s="118"/>
    </row>
    <row r="52" spans="2:15" s="104" customFormat="1" ht="15" customHeight="1" x14ac:dyDescent="0.25">
      <c r="B52" s="441" t="s">
        <v>388</v>
      </c>
      <c r="C52" s="386" t="s">
        <v>389</v>
      </c>
      <c r="D52" s="393"/>
      <c r="E52" s="394"/>
      <c r="F52" s="395"/>
      <c r="G52" s="305">
        <f t="shared" si="11"/>
        <v>0</v>
      </c>
      <c r="H52" s="377"/>
      <c r="I52" s="151"/>
      <c r="J52" s="152"/>
      <c r="K52" s="377"/>
      <c r="L52" s="152"/>
      <c r="M52" s="152"/>
      <c r="N52" s="118"/>
      <c r="O52" s="118"/>
    </row>
    <row r="53" spans="2:15" s="104" customFormat="1" ht="15" customHeight="1" x14ac:dyDescent="0.25">
      <c r="B53" s="442" t="s">
        <v>390</v>
      </c>
      <c r="C53" s="387" t="s">
        <v>343</v>
      </c>
      <c r="D53" s="390"/>
      <c r="E53" s="391"/>
      <c r="F53" s="392"/>
      <c r="G53" s="306"/>
      <c r="H53" s="377"/>
      <c r="I53" s="151"/>
      <c r="J53" s="152"/>
      <c r="K53" s="377"/>
      <c r="L53" s="152"/>
      <c r="M53" s="152"/>
      <c r="N53" s="118"/>
      <c r="O53" s="118"/>
    </row>
    <row r="54" spans="2:15" s="104" customFormat="1" ht="15" customHeight="1" x14ac:dyDescent="0.25">
      <c r="B54" s="443" t="s">
        <v>391</v>
      </c>
      <c r="C54" s="388" t="s">
        <v>392</v>
      </c>
      <c r="D54" s="380" t="s">
        <v>234</v>
      </c>
      <c r="E54" s="381">
        <v>56.3</v>
      </c>
      <c r="F54" s="382">
        <v>22.11</v>
      </c>
      <c r="G54" s="305">
        <f t="shared" ref="G54:G58" si="13">ROUND(E54*F54,2)</f>
        <v>1244.79</v>
      </c>
      <c r="H54" s="377"/>
      <c r="I54" s="151">
        <f t="shared" ref="I54:I58" si="14">ROUND(J54/$G54,4)</f>
        <v>1</v>
      </c>
      <c r="J54" s="152">
        <v>1244.79</v>
      </c>
      <c r="K54" s="377"/>
      <c r="L54" s="152">
        <v>56.3</v>
      </c>
      <c r="M54" s="152">
        <v>0</v>
      </c>
      <c r="N54" s="118"/>
      <c r="O54" s="118"/>
    </row>
    <row r="55" spans="2:15" s="104" customFormat="1" ht="15" customHeight="1" x14ac:dyDescent="0.25">
      <c r="B55" s="443" t="s">
        <v>393</v>
      </c>
      <c r="C55" s="388" t="s">
        <v>394</v>
      </c>
      <c r="D55" s="396" t="s">
        <v>234</v>
      </c>
      <c r="E55" s="397">
        <v>12</v>
      </c>
      <c r="F55" s="398">
        <v>42.31</v>
      </c>
      <c r="G55" s="305">
        <f t="shared" si="13"/>
        <v>507.72</v>
      </c>
      <c r="H55" s="377"/>
      <c r="I55" s="151">
        <f t="shared" si="14"/>
        <v>0</v>
      </c>
      <c r="J55" s="152"/>
      <c r="K55" s="377"/>
      <c r="L55" s="152">
        <v>12</v>
      </c>
      <c r="M55" s="152">
        <v>0</v>
      </c>
      <c r="N55" s="118"/>
      <c r="O55" s="118"/>
    </row>
    <row r="56" spans="2:15" s="104" customFormat="1" ht="15" customHeight="1" x14ac:dyDescent="0.25">
      <c r="B56" s="443" t="s">
        <v>395</v>
      </c>
      <c r="C56" s="389" t="s">
        <v>349</v>
      </c>
      <c r="D56" s="380" t="s">
        <v>234</v>
      </c>
      <c r="E56" s="381">
        <v>55.38</v>
      </c>
      <c r="F56" s="382">
        <v>18.98</v>
      </c>
      <c r="G56" s="305">
        <f t="shared" si="13"/>
        <v>1051.1099999999999</v>
      </c>
      <c r="H56" s="377"/>
      <c r="I56" s="151">
        <f t="shared" si="14"/>
        <v>0</v>
      </c>
      <c r="J56" s="152"/>
      <c r="K56" s="377"/>
      <c r="L56" s="152">
        <v>55.38</v>
      </c>
      <c r="M56" s="152">
        <v>0</v>
      </c>
      <c r="N56" s="118"/>
      <c r="O56" s="118"/>
    </row>
    <row r="57" spans="2:15" s="104" customFormat="1" ht="15" customHeight="1" x14ac:dyDescent="0.25">
      <c r="B57" s="443" t="s">
        <v>396</v>
      </c>
      <c r="C57" s="388" t="s">
        <v>397</v>
      </c>
      <c r="D57" s="380" t="s">
        <v>101</v>
      </c>
      <c r="E57" s="381">
        <v>547.38</v>
      </c>
      <c r="F57" s="382">
        <v>4.25</v>
      </c>
      <c r="G57" s="305">
        <f t="shared" si="13"/>
        <v>2326.37</v>
      </c>
      <c r="H57" s="377"/>
      <c r="I57" s="151">
        <f t="shared" si="14"/>
        <v>0</v>
      </c>
      <c r="J57" s="152"/>
      <c r="K57" s="377"/>
      <c r="L57" s="152">
        <v>547.38</v>
      </c>
      <c r="M57" s="152">
        <v>0</v>
      </c>
      <c r="N57" s="118"/>
      <c r="O57" s="118"/>
    </row>
    <row r="58" spans="2:15" s="104" customFormat="1" ht="15" customHeight="1" x14ac:dyDescent="0.25">
      <c r="B58" s="443" t="s">
        <v>398</v>
      </c>
      <c r="C58" s="389" t="s">
        <v>399</v>
      </c>
      <c r="D58" s="380" t="s">
        <v>101</v>
      </c>
      <c r="E58" s="381">
        <v>547.38</v>
      </c>
      <c r="F58" s="382">
        <v>16.02</v>
      </c>
      <c r="G58" s="305">
        <f t="shared" si="13"/>
        <v>8769.0300000000007</v>
      </c>
      <c r="H58" s="377"/>
      <c r="I58" s="151">
        <f t="shared" si="14"/>
        <v>0</v>
      </c>
      <c r="J58" s="152"/>
      <c r="K58" s="377"/>
      <c r="L58" s="152">
        <v>547.38</v>
      </c>
      <c r="M58" s="152">
        <v>0</v>
      </c>
      <c r="N58" s="118"/>
      <c r="O58" s="118"/>
    </row>
    <row r="59" spans="2:15" s="104" customFormat="1" ht="15" customHeight="1" x14ac:dyDescent="0.25">
      <c r="B59" s="442" t="s">
        <v>400</v>
      </c>
      <c r="C59" s="387" t="s">
        <v>401</v>
      </c>
      <c r="D59" s="390"/>
      <c r="E59" s="391"/>
      <c r="F59" s="392"/>
      <c r="G59" s="307">
        <f>ROUND(E59*F59,2)</f>
        <v>0</v>
      </c>
      <c r="H59" s="377"/>
      <c r="I59" s="151"/>
      <c r="J59" s="152"/>
      <c r="K59" s="377"/>
      <c r="L59" s="152"/>
      <c r="M59" s="152"/>
      <c r="N59" s="118"/>
      <c r="O59" s="118"/>
    </row>
    <row r="60" spans="2:15" s="104" customFormat="1" ht="15" customHeight="1" x14ac:dyDescent="0.25">
      <c r="B60" s="443" t="s">
        <v>402</v>
      </c>
      <c r="C60" s="388" t="s">
        <v>403</v>
      </c>
      <c r="D60" s="380" t="s">
        <v>101</v>
      </c>
      <c r="E60" s="381">
        <v>55.28</v>
      </c>
      <c r="F60" s="382">
        <v>72.37</v>
      </c>
      <c r="G60" s="305">
        <f t="shared" ref="G60:G69" si="15">ROUND(E60*F60,2)</f>
        <v>4000.61</v>
      </c>
      <c r="H60" s="377"/>
      <c r="I60" s="151">
        <f t="shared" ref="I60:I64" si="16">ROUND(J60/$G60,4)</f>
        <v>0</v>
      </c>
      <c r="J60" s="152"/>
      <c r="K60" s="377"/>
      <c r="L60" s="152"/>
      <c r="M60" s="152">
        <v>4000.61</v>
      </c>
      <c r="N60" s="118"/>
      <c r="O60" s="118"/>
    </row>
    <row r="61" spans="2:15" s="104" customFormat="1" ht="15" customHeight="1" x14ac:dyDescent="0.25">
      <c r="B61" s="443" t="s">
        <v>404</v>
      </c>
      <c r="C61" s="389" t="s">
        <v>405</v>
      </c>
      <c r="D61" s="380" t="s">
        <v>101</v>
      </c>
      <c r="E61" s="381">
        <v>547.38</v>
      </c>
      <c r="F61" s="382">
        <v>49.11</v>
      </c>
      <c r="G61" s="305">
        <f t="shared" si="15"/>
        <v>26881.83</v>
      </c>
      <c r="H61" s="377"/>
      <c r="I61" s="151">
        <f t="shared" si="16"/>
        <v>0</v>
      </c>
      <c r="J61" s="152"/>
      <c r="K61" s="377"/>
      <c r="L61" s="152"/>
      <c r="M61" s="152">
        <v>26881.83</v>
      </c>
      <c r="N61" s="118"/>
      <c r="O61" s="118"/>
    </row>
    <row r="62" spans="2:15" s="104" customFormat="1" ht="15" customHeight="1" x14ac:dyDescent="0.25">
      <c r="B62" s="443" t="s">
        <v>406</v>
      </c>
      <c r="C62" s="388" t="s">
        <v>407</v>
      </c>
      <c r="D62" s="380" t="s">
        <v>145</v>
      </c>
      <c r="E62" s="381">
        <v>404</v>
      </c>
      <c r="F62" s="382">
        <v>16.32</v>
      </c>
      <c r="G62" s="305">
        <f t="shared" si="15"/>
        <v>6593.28</v>
      </c>
      <c r="H62" s="377"/>
      <c r="I62" s="151">
        <f t="shared" si="16"/>
        <v>0</v>
      </c>
      <c r="J62" s="152"/>
      <c r="K62" s="377"/>
      <c r="L62" s="152"/>
      <c r="M62" s="152">
        <v>6593.28</v>
      </c>
      <c r="N62" s="118"/>
      <c r="O62" s="118"/>
    </row>
    <row r="63" spans="2:15" s="104" customFormat="1" ht="15" customHeight="1" x14ac:dyDescent="0.25">
      <c r="B63" s="443" t="s">
        <v>408</v>
      </c>
      <c r="C63" s="388" t="s">
        <v>409</v>
      </c>
      <c r="D63" s="380"/>
      <c r="E63" s="381">
        <v>547.38</v>
      </c>
      <c r="F63" s="382">
        <v>2.92</v>
      </c>
      <c r="G63" s="305">
        <f t="shared" si="15"/>
        <v>1598.35</v>
      </c>
      <c r="H63" s="377"/>
      <c r="I63" s="151">
        <f t="shared" si="16"/>
        <v>0</v>
      </c>
      <c r="J63" s="152"/>
      <c r="K63" s="377"/>
      <c r="L63" s="152"/>
      <c r="M63" s="152">
        <v>1598.35</v>
      </c>
      <c r="N63" s="118"/>
      <c r="O63" s="118"/>
    </row>
    <row r="64" spans="2:15" s="104" customFormat="1" ht="15" customHeight="1" x14ac:dyDescent="0.25">
      <c r="B64" s="443" t="s">
        <v>410</v>
      </c>
      <c r="C64" s="388" t="s">
        <v>411</v>
      </c>
      <c r="D64" s="380" t="s">
        <v>145</v>
      </c>
      <c r="E64" s="381">
        <v>158.4</v>
      </c>
      <c r="F64" s="382">
        <v>4.4800000000000004</v>
      </c>
      <c r="G64" s="305">
        <f t="shared" si="15"/>
        <v>709.63</v>
      </c>
      <c r="H64" s="377"/>
      <c r="I64" s="151">
        <f t="shared" si="16"/>
        <v>0</v>
      </c>
      <c r="J64" s="152"/>
      <c r="K64" s="377"/>
      <c r="L64" s="152"/>
      <c r="M64" s="152">
        <v>709.63</v>
      </c>
      <c r="N64" s="118"/>
      <c r="O64" s="118"/>
    </row>
    <row r="65" spans="2:15" s="104" customFormat="1" ht="15" customHeight="1" x14ac:dyDescent="0.25">
      <c r="B65" s="442" t="s">
        <v>412</v>
      </c>
      <c r="C65" s="387" t="s">
        <v>413</v>
      </c>
      <c r="D65" s="390"/>
      <c r="E65" s="391"/>
      <c r="F65" s="392"/>
      <c r="G65" s="305">
        <f t="shared" si="15"/>
        <v>0</v>
      </c>
      <c r="H65" s="377"/>
      <c r="I65" s="151"/>
      <c r="J65" s="152"/>
      <c r="K65" s="377"/>
      <c r="L65" s="152"/>
      <c r="M65" s="152"/>
      <c r="N65" s="118"/>
      <c r="O65" s="118"/>
    </row>
    <row r="66" spans="2:15" s="104" customFormat="1" ht="15" customHeight="1" x14ac:dyDescent="0.25">
      <c r="B66" s="443" t="s">
        <v>414</v>
      </c>
      <c r="C66" s="388" t="s">
        <v>415</v>
      </c>
      <c r="D66" s="380" t="s">
        <v>101</v>
      </c>
      <c r="E66" s="381">
        <v>16.25</v>
      </c>
      <c r="F66" s="382">
        <v>46.94</v>
      </c>
      <c r="G66" s="305">
        <f t="shared" si="15"/>
        <v>762.78</v>
      </c>
      <c r="H66" s="377"/>
      <c r="I66" s="151">
        <f t="shared" ref="I66:I69" si="17">ROUND(J66/$G66,4)</f>
        <v>0</v>
      </c>
      <c r="J66" s="152"/>
      <c r="K66" s="377"/>
      <c r="L66" s="152"/>
      <c r="M66" s="152">
        <v>762.78</v>
      </c>
      <c r="N66" s="118"/>
      <c r="O66" s="118"/>
    </row>
    <row r="67" spans="2:15" s="104" customFormat="1" ht="15" customHeight="1" x14ac:dyDescent="0.25">
      <c r="B67" s="443" t="s">
        <v>416</v>
      </c>
      <c r="C67" s="388" t="s">
        <v>417</v>
      </c>
      <c r="D67" s="380" t="s">
        <v>101</v>
      </c>
      <c r="E67" s="381">
        <v>86.65</v>
      </c>
      <c r="F67" s="382">
        <v>53.06</v>
      </c>
      <c r="G67" s="305">
        <f t="shared" si="15"/>
        <v>4597.6499999999996</v>
      </c>
      <c r="H67" s="377"/>
      <c r="I67" s="151">
        <f t="shared" si="17"/>
        <v>0</v>
      </c>
      <c r="J67" s="152"/>
      <c r="K67" s="377"/>
      <c r="L67" s="152"/>
      <c r="M67" s="152">
        <v>4597.6499999999996</v>
      </c>
      <c r="N67" s="118"/>
      <c r="O67" s="118"/>
    </row>
    <row r="68" spans="2:15" s="104" customFormat="1" ht="15" customHeight="1" x14ac:dyDescent="0.25">
      <c r="B68" s="443" t="s">
        <v>418</v>
      </c>
      <c r="C68" s="388" t="s">
        <v>419</v>
      </c>
      <c r="D68" s="380" t="s">
        <v>101</v>
      </c>
      <c r="E68" s="381">
        <v>86.65</v>
      </c>
      <c r="F68" s="382">
        <v>2.92</v>
      </c>
      <c r="G68" s="305">
        <f t="shared" si="15"/>
        <v>253.02</v>
      </c>
      <c r="H68" s="377"/>
      <c r="I68" s="151">
        <f t="shared" si="17"/>
        <v>0</v>
      </c>
      <c r="J68" s="152"/>
      <c r="K68" s="377"/>
      <c r="L68" s="152"/>
      <c r="M68" s="152">
        <v>253.02</v>
      </c>
      <c r="N68" s="118"/>
      <c r="O68" s="118"/>
    </row>
    <row r="69" spans="2:15" s="104" customFormat="1" ht="15" customHeight="1" x14ac:dyDescent="0.25">
      <c r="B69" s="443" t="s">
        <v>420</v>
      </c>
      <c r="C69" s="388" t="s">
        <v>411</v>
      </c>
      <c r="D69" s="380" t="s">
        <v>145</v>
      </c>
      <c r="E69" s="381">
        <v>110</v>
      </c>
      <c r="F69" s="382">
        <v>4.4800000000000004</v>
      </c>
      <c r="G69" s="305">
        <f t="shared" si="15"/>
        <v>492.8</v>
      </c>
      <c r="H69" s="377"/>
      <c r="I69" s="151">
        <f t="shared" si="17"/>
        <v>0</v>
      </c>
      <c r="J69" s="152"/>
      <c r="K69" s="377"/>
      <c r="L69" s="152"/>
      <c r="M69" s="152">
        <v>492.8</v>
      </c>
      <c r="N69" s="118"/>
      <c r="O69" s="118"/>
    </row>
    <row r="70" spans="2:15" s="104" customFormat="1" ht="15" customHeight="1" x14ac:dyDescent="0.25">
      <c r="B70" s="442" t="s">
        <v>421</v>
      </c>
      <c r="C70" s="387" t="s">
        <v>422</v>
      </c>
      <c r="D70" s="390"/>
      <c r="E70" s="391"/>
      <c r="F70" s="392"/>
      <c r="G70" s="306"/>
      <c r="H70" s="377"/>
      <c r="I70" s="151"/>
      <c r="J70" s="152"/>
      <c r="K70" s="377"/>
      <c r="L70" s="152"/>
      <c r="M70" s="152"/>
      <c r="N70" s="118"/>
      <c r="O70" s="118"/>
    </row>
    <row r="71" spans="2:15" s="104" customFormat="1" ht="15" customHeight="1" x14ac:dyDescent="0.25">
      <c r="B71" s="443" t="s">
        <v>423</v>
      </c>
      <c r="C71" s="388" t="s">
        <v>424</v>
      </c>
      <c r="D71" s="380" t="s">
        <v>101</v>
      </c>
      <c r="E71" s="381">
        <v>64</v>
      </c>
      <c r="F71" s="382">
        <v>49.11</v>
      </c>
      <c r="G71" s="305">
        <f t="shared" ref="G71:G74" si="18">ROUND(E71*F71,2)</f>
        <v>3143.04</v>
      </c>
      <c r="H71" s="377"/>
      <c r="I71" s="151">
        <f t="shared" ref="I71:I74" si="19">ROUND(J71/$G71,4)</f>
        <v>0</v>
      </c>
      <c r="J71" s="152"/>
      <c r="K71" s="377"/>
      <c r="L71" s="152"/>
      <c r="M71" s="152">
        <v>3143.04</v>
      </c>
      <c r="N71" s="118"/>
      <c r="O71" s="118"/>
    </row>
    <row r="72" spans="2:15" s="104" customFormat="1" ht="15" customHeight="1" x14ac:dyDescent="0.25">
      <c r="B72" s="443" t="s">
        <v>425</v>
      </c>
      <c r="C72" s="388" t="s">
        <v>426</v>
      </c>
      <c r="D72" s="380" t="s">
        <v>101</v>
      </c>
      <c r="E72" s="381">
        <v>2.8</v>
      </c>
      <c r="F72" s="382">
        <v>87.93</v>
      </c>
      <c r="G72" s="305">
        <f t="shared" si="18"/>
        <v>246.2</v>
      </c>
      <c r="H72" s="377"/>
      <c r="I72" s="151">
        <f t="shared" si="19"/>
        <v>0</v>
      </c>
      <c r="J72" s="152"/>
      <c r="K72" s="377"/>
      <c r="L72" s="152"/>
      <c r="M72" s="152">
        <v>246.2</v>
      </c>
      <c r="N72" s="118"/>
      <c r="O72" s="118"/>
    </row>
    <row r="73" spans="2:15" s="104" customFormat="1" ht="15" customHeight="1" x14ac:dyDescent="0.25">
      <c r="B73" s="443" t="s">
        <v>427</v>
      </c>
      <c r="C73" s="388" t="s">
        <v>428</v>
      </c>
      <c r="D73" s="380" t="s">
        <v>145</v>
      </c>
      <c r="E73" s="381">
        <v>28</v>
      </c>
      <c r="F73" s="382">
        <v>51.24</v>
      </c>
      <c r="G73" s="305">
        <f t="shared" si="18"/>
        <v>1434.72</v>
      </c>
      <c r="H73" s="377"/>
      <c r="I73" s="151">
        <f t="shared" si="19"/>
        <v>0</v>
      </c>
      <c r="J73" s="152"/>
      <c r="K73" s="377"/>
      <c r="L73" s="152"/>
      <c r="M73" s="152">
        <v>1434.72</v>
      </c>
      <c r="N73" s="118"/>
      <c r="O73" s="118"/>
    </row>
    <row r="74" spans="2:15" s="104" customFormat="1" ht="15" customHeight="1" x14ac:dyDescent="0.25">
      <c r="B74" s="443" t="s">
        <v>429</v>
      </c>
      <c r="C74" s="388" t="s">
        <v>409</v>
      </c>
      <c r="D74" s="380" t="s">
        <v>101</v>
      </c>
      <c r="E74" s="381">
        <v>64</v>
      </c>
      <c r="F74" s="382">
        <v>2.92</v>
      </c>
      <c r="G74" s="305">
        <f t="shared" si="18"/>
        <v>186.88</v>
      </c>
      <c r="H74" s="377"/>
      <c r="I74" s="151">
        <f t="shared" si="19"/>
        <v>0</v>
      </c>
      <c r="J74" s="152"/>
      <c r="K74" s="377"/>
      <c r="L74" s="152"/>
      <c r="M74" s="152">
        <v>186.88</v>
      </c>
      <c r="N74" s="118"/>
      <c r="O74" s="118"/>
    </row>
    <row r="75" spans="2:15" s="104" customFormat="1" ht="15" customHeight="1" x14ac:dyDescent="0.25">
      <c r="B75" s="442" t="s">
        <v>430</v>
      </c>
      <c r="C75" s="387" t="s">
        <v>431</v>
      </c>
      <c r="D75" s="390"/>
      <c r="E75" s="391"/>
      <c r="F75" s="392"/>
      <c r="G75" s="306"/>
      <c r="H75" s="377"/>
      <c r="I75" s="151"/>
      <c r="J75" s="152"/>
      <c r="K75" s="377"/>
      <c r="L75" s="152"/>
      <c r="M75" s="152"/>
      <c r="N75" s="118"/>
      <c r="O75" s="118"/>
    </row>
    <row r="76" spans="2:15" s="104" customFormat="1" ht="15" customHeight="1" x14ac:dyDescent="0.25">
      <c r="B76" s="443" t="s">
        <v>432</v>
      </c>
      <c r="C76" s="388" t="s">
        <v>433</v>
      </c>
      <c r="D76" s="380" t="s">
        <v>233</v>
      </c>
      <c r="E76" s="381">
        <v>32</v>
      </c>
      <c r="F76" s="382">
        <v>202.81</v>
      </c>
      <c r="G76" s="305">
        <f t="shared" ref="G76:G77" si="20">ROUND(E76*F76,2)</f>
        <v>6489.92</v>
      </c>
      <c r="H76" s="378"/>
      <c r="I76" s="151">
        <f t="shared" ref="I76:I77" si="21">ROUND(J76/$G76,4)</f>
        <v>0</v>
      </c>
      <c r="J76" s="152"/>
      <c r="K76" s="378"/>
      <c r="L76" s="152">
        <v>32</v>
      </c>
      <c r="M76" s="152">
        <v>0</v>
      </c>
      <c r="N76" s="118"/>
      <c r="O76" s="118"/>
    </row>
    <row r="77" spans="2:15" s="104" customFormat="1" ht="15" customHeight="1" x14ac:dyDescent="0.25">
      <c r="B77" s="443" t="s">
        <v>434</v>
      </c>
      <c r="C77" s="388" t="s">
        <v>435</v>
      </c>
      <c r="D77" s="380" t="s">
        <v>233</v>
      </c>
      <c r="E77" s="381">
        <v>32</v>
      </c>
      <c r="F77" s="382">
        <v>312.41000000000003</v>
      </c>
      <c r="G77" s="305">
        <f t="shared" si="20"/>
        <v>9997.1200000000008</v>
      </c>
      <c r="H77" s="378"/>
      <c r="I77" s="151">
        <f t="shared" si="21"/>
        <v>0</v>
      </c>
      <c r="J77" s="453"/>
      <c r="K77" s="378"/>
      <c r="L77" s="152">
        <v>32</v>
      </c>
      <c r="M77" s="152">
        <v>0</v>
      </c>
      <c r="N77" s="118"/>
      <c r="O77" s="118"/>
    </row>
    <row r="78" spans="2:15" s="104" customFormat="1" ht="15" customHeight="1" x14ac:dyDescent="0.25">
      <c r="B78" s="441" t="s">
        <v>436</v>
      </c>
      <c r="C78" s="386" t="s">
        <v>437</v>
      </c>
      <c r="D78" s="393"/>
      <c r="E78" s="394"/>
      <c r="F78" s="395"/>
      <c r="G78" s="306"/>
      <c r="H78" s="378"/>
      <c r="I78" s="459"/>
      <c r="J78" s="453"/>
      <c r="K78" s="378"/>
      <c r="L78" s="152"/>
      <c r="M78" s="152"/>
      <c r="N78" s="118"/>
      <c r="O78" s="118"/>
    </row>
    <row r="79" spans="2:15" s="104" customFormat="1" ht="15" customHeight="1" x14ac:dyDescent="0.25">
      <c r="B79" s="442" t="s">
        <v>438</v>
      </c>
      <c r="C79" s="387" t="s">
        <v>439</v>
      </c>
      <c r="D79" s="390"/>
      <c r="E79" s="391"/>
      <c r="F79" s="392"/>
      <c r="G79" s="306"/>
      <c r="H79" s="378"/>
      <c r="I79" s="459"/>
      <c r="J79" s="453"/>
      <c r="K79" s="378"/>
      <c r="L79" s="152"/>
      <c r="M79" s="152"/>
      <c r="N79" s="118"/>
      <c r="O79" s="118"/>
    </row>
    <row r="80" spans="2:15" s="104" customFormat="1" ht="15" customHeight="1" x14ac:dyDescent="0.25">
      <c r="B80" s="443" t="s">
        <v>440</v>
      </c>
      <c r="C80" s="388" t="s">
        <v>441</v>
      </c>
      <c r="D80" s="380" t="s">
        <v>234</v>
      </c>
      <c r="E80" s="381">
        <v>43.2</v>
      </c>
      <c r="F80" s="382">
        <v>56.41</v>
      </c>
      <c r="G80" s="305">
        <f t="shared" ref="G80:G84" si="22">ROUND(E80*F80,2)</f>
        <v>2436.91</v>
      </c>
      <c r="H80" s="378"/>
      <c r="I80" s="151">
        <f t="shared" ref="I80:I84" si="23">ROUND(J80/$G80,4)</f>
        <v>0.66669999999999996</v>
      </c>
      <c r="J80" s="453">
        <v>1624.61</v>
      </c>
      <c r="K80" s="378"/>
      <c r="L80" s="152"/>
      <c r="M80" s="152">
        <v>2436.91</v>
      </c>
      <c r="N80" s="118"/>
      <c r="O80" s="118"/>
    </row>
    <row r="81" spans="2:15" s="104" customFormat="1" ht="15" customHeight="1" x14ac:dyDescent="0.25">
      <c r="B81" s="443" t="s">
        <v>442</v>
      </c>
      <c r="C81" s="388" t="s">
        <v>231</v>
      </c>
      <c r="D81" s="380" t="s">
        <v>234</v>
      </c>
      <c r="E81" s="381">
        <v>5.5</v>
      </c>
      <c r="F81" s="382">
        <v>42.31</v>
      </c>
      <c r="G81" s="305">
        <f t="shared" si="22"/>
        <v>232.71</v>
      </c>
      <c r="H81" s="378"/>
      <c r="I81" s="151">
        <f t="shared" si="23"/>
        <v>0</v>
      </c>
      <c r="J81" s="453"/>
      <c r="K81" s="378"/>
      <c r="L81" s="152"/>
      <c r="M81" s="152">
        <v>232.71</v>
      </c>
      <c r="N81" s="118"/>
      <c r="O81" s="118"/>
    </row>
    <row r="82" spans="2:15" s="104" customFormat="1" ht="15" customHeight="1" x14ac:dyDescent="0.25">
      <c r="B82" s="443" t="s">
        <v>443</v>
      </c>
      <c r="C82" s="388" t="s">
        <v>444</v>
      </c>
      <c r="D82" s="380" t="s">
        <v>234</v>
      </c>
      <c r="E82" s="381">
        <v>47.13</v>
      </c>
      <c r="F82" s="382">
        <v>28.21</v>
      </c>
      <c r="G82" s="305">
        <f t="shared" si="22"/>
        <v>1329.54</v>
      </c>
      <c r="H82" s="378"/>
      <c r="I82" s="151">
        <f t="shared" si="23"/>
        <v>0.125</v>
      </c>
      <c r="J82" s="453">
        <v>166.19</v>
      </c>
      <c r="K82" s="378"/>
      <c r="L82" s="152"/>
      <c r="M82" s="152">
        <v>1329.54</v>
      </c>
      <c r="N82" s="118"/>
      <c r="O82" s="118"/>
    </row>
    <row r="83" spans="2:15" s="104" customFormat="1" ht="15" customHeight="1" x14ac:dyDescent="0.25">
      <c r="B83" s="443" t="s">
        <v>445</v>
      </c>
      <c r="C83" s="389" t="s">
        <v>349</v>
      </c>
      <c r="D83" s="380" t="s">
        <v>234</v>
      </c>
      <c r="E83" s="381">
        <v>47.13</v>
      </c>
      <c r="F83" s="382">
        <v>18.98</v>
      </c>
      <c r="G83" s="305">
        <f t="shared" si="22"/>
        <v>894.53</v>
      </c>
      <c r="H83" s="378"/>
      <c r="I83" s="151">
        <f t="shared" si="23"/>
        <v>0</v>
      </c>
      <c r="J83" s="454"/>
      <c r="K83" s="378"/>
      <c r="L83" s="152"/>
      <c r="M83" s="152">
        <v>894.53</v>
      </c>
      <c r="N83" s="118"/>
      <c r="O83" s="118"/>
    </row>
    <row r="84" spans="2:15" s="104" customFormat="1" ht="15" customHeight="1" x14ac:dyDescent="0.25">
      <c r="B84" s="443" t="s">
        <v>446</v>
      </c>
      <c r="C84" s="388" t="s">
        <v>447</v>
      </c>
      <c r="D84" s="380" t="s">
        <v>101</v>
      </c>
      <c r="E84" s="381">
        <v>115.95</v>
      </c>
      <c r="F84" s="382">
        <v>4.25</v>
      </c>
      <c r="G84" s="305">
        <f t="shared" si="22"/>
        <v>492.79</v>
      </c>
      <c r="H84" s="378"/>
      <c r="I84" s="151">
        <f t="shared" si="23"/>
        <v>0</v>
      </c>
      <c r="J84" s="454"/>
      <c r="K84" s="378"/>
      <c r="L84" s="152"/>
      <c r="M84" s="152">
        <v>492.79</v>
      </c>
      <c r="N84" s="118"/>
      <c r="O84" s="118"/>
    </row>
    <row r="85" spans="2:15" s="104" customFormat="1" ht="15" customHeight="1" x14ac:dyDescent="0.25">
      <c r="B85" s="442" t="s">
        <v>448</v>
      </c>
      <c r="C85" s="387" t="s">
        <v>449</v>
      </c>
      <c r="D85" s="390"/>
      <c r="E85" s="391"/>
      <c r="F85" s="392"/>
      <c r="G85" s="306"/>
      <c r="H85" s="378"/>
      <c r="I85" s="450"/>
      <c r="J85" s="446"/>
      <c r="K85" s="378"/>
      <c r="L85" s="152"/>
      <c r="M85" s="152"/>
      <c r="N85" s="118"/>
      <c r="O85" s="118"/>
    </row>
    <row r="86" spans="2:15" s="104" customFormat="1" ht="15" customHeight="1" x14ac:dyDescent="0.25">
      <c r="B86" s="443" t="s">
        <v>450</v>
      </c>
      <c r="C86" s="388" t="s">
        <v>451</v>
      </c>
      <c r="D86" s="380" t="s">
        <v>101</v>
      </c>
      <c r="E86" s="381">
        <v>5.76</v>
      </c>
      <c r="F86" s="382">
        <v>34.68</v>
      </c>
      <c r="G86" s="305">
        <f t="shared" ref="G86:G89" si="24">ROUND(E86*F86,2)</f>
        <v>199.76</v>
      </c>
      <c r="H86" s="378"/>
      <c r="I86" s="151">
        <f t="shared" ref="I86:I89" si="25">ROUND(J86/$G86,4)</f>
        <v>0</v>
      </c>
      <c r="J86" s="447"/>
      <c r="K86" s="378"/>
      <c r="L86" s="152"/>
      <c r="M86" s="152">
        <v>199.76</v>
      </c>
      <c r="N86" s="118"/>
      <c r="O86" s="118"/>
    </row>
    <row r="87" spans="2:15" s="104" customFormat="1" ht="15" customHeight="1" x14ac:dyDescent="0.25">
      <c r="B87" s="443" t="s">
        <v>452</v>
      </c>
      <c r="C87" s="388" t="s">
        <v>453</v>
      </c>
      <c r="D87" s="380" t="s">
        <v>145</v>
      </c>
      <c r="E87" s="381">
        <v>386</v>
      </c>
      <c r="F87" s="382">
        <v>40.96</v>
      </c>
      <c r="G87" s="305">
        <f t="shared" si="24"/>
        <v>15810.56</v>
      </c>
      <c r="H87" s="378"/>
      <c r="I87" s="151">
        <f t="shared" si="25"/>
        <v>0</v>
      </c>
      <c r="J87" s="447"/>
      <c r="K87" s="378"/>
      <c r="L87" s="152"/>
      <c r="M87" s="152">
        <v>15810.56</v>
      </c>
      <c r="N87" s="118"/>
      <c r="O87" s="118"/>
    </row>
    <row r="88" spans="2:15" s="104" customFormat="1" ht="15" customHeight="1" x14ac:dyDescent="0.25">
      <c r="B88" s="443" t="s">
        <v>454</v>
      </c>
      <c r="C88" s="388" t="s">
        <v>455</v>
      </c>
      <c r="D88" s="380" t="s">
        <v>101</v>
      </c>
      <c r="E88" s="381">
        <v>115.8</v>
      </c>
      <c r="F88" s="382">
        <v>5.86</v>
      </c>
      <c r="G88" s="305">
        <f t="shared" si="24"/>
        <v>678.59</v>
      </c>
      <c r="H88" s="378"/>
      <c r="I88" s="151">
        <f t="shared" si="25"/>
        <v>0</v>
      </c>
      <c r="J88" s="448"/>
      <c r="K88" s="378"/>
      <c r="L88" s="152"/>
      <c r="M88" s="152">
        <v>678.59</v>
      </c>
      <c r="N88" s="118"/>
      <c r="O88" s="118"/>
    </row>
    <row r="89" spans="2:15" s="104" customFormat="1" ht="15" customHeight="1" x14ac:dyDescent="0.25">
      <c r="B89" s="443" t="s">
        <v>456</v>
      </c>
      <c r="C89" s="388" t="s">
        <v>457</v>
      </c>
      <c r="D89" s="396" t="s">
        <v>145</v>
      </c>
      <c r="E89" s="397">
        <v>38.5</v>
      </c>
      <c r="F89" s="398">
        <v>5.44</v>
      </c>
      <c r="G89" s="305">
        <f t="shared" si="24"/>
        <v>209.44</v>
      </c>
      <c r="H89" s="378"/>
      <c r="I89" s="151">
        <f t="shared" si="25"/>
        <v>0</v>
      </c>
      <c r="J89" s="447"/>
      <c r="K89" s="378"/>
      <c r="L89" s="152"/>
      <c r="M89" s="152">
        <v>209.44</v>
      </c>
      <c r="N89" s="118"/>
      <c r="O89" s="118"/>
    </row>
    <row r="90" spans="2:15" s="104" customFormat="1" ht="15" customHeight="1" x14ac:dyDescent="0.25">
      <c r="B90" s="441" t="s">
        <v>458</v>
      </c>
      <c r="C90" s="386" t="s">
        <v>459</v>
      </c>
      <c r="D90" s="393"/>
      <c r="E90" s="394"/>
      <c r="F90" s="395"/>
      <c r="G90" s="306"/>
      <c r="H90" s="378"/>
      <c r="I90" s="451"/>
      <c r="J90" s="447"/>
      <c r="K90" s="378"/>
      <c r="L90" s="152"/>
      <c r="M90" s="152"/>
      <c r="N90" s="118"/>
      <c r="O90" s="118"/>
    </row>
    <row r="91" spans="2:15" s="104" customFormat="1" ht="15" customHeight="1" x14ac:dyDescent="0.25">
      <c r="B91" s="442" t="s">
        <v>460</v>
      </c>
      <c r="C91" s="387" t="s">
        <v>461</v>
      </c>
      <c r="D91" s="390"/>
      <c r="E91" s="391"/>
      <c r="F91" s="392"/>
      <c r="G91" s="306"/>
      <c r="H91" s="378"/>
      <c r="I91" s="451"/>
      <c r="J91" s="447"/>
      <c r="K91" s="378"/>
      <c r="L91" s="152"/>
      <c r="M91" s="152"/>
      <c r="N91" s="118"/>
      <c r="O91" s="118"/>
    </row>
    <row r="92" spans="2:15" s="104" customFormat="1" ht="15" customHeight="1" x14ac:dyDescent="0.25">
      <c r="B92" s="443" t="s">
        <v>462</v>
      </c>
      <c r="C92" s="388" t="s">
        <v>441</v>
      </c>
      <c r="D92" s="380" t="s">
        <v>234</v>
      </c>
      <c r="E92" s="381">
        <v>9</v>
      </c>
      <c r="F92" s="382">
        <v>56.41</v>
      </c>
      <c r="G92" s="305">
        <f t="shared" ref="G92:G95" si="26">ROUND(E92*F92,2)</f>
        <v>507.69</v>
      </c>
      <c r="H92" s="378"/>
      <c r="I92" s="151">
        <f t="shared" ref="I92:I95" si="27">ROUND(J92/$G92,4)</f>
        <v>1</v>
      </c>
      <c r="J92" s="447">
        <v>507.69</v>
      </c>
      <c r="K92" s="378"/>
      <c r="L92" s="152"/>
      <c r="M92" s="152">
        <v>507.69</v>
      </c>
      <c r="N92" s="118"/>
      <c r="O92" s="118"/>
    </row>
    <row r="93" spans="2:15" s="104" customFormat="1" ht="15" customHeight="1" x14ac:dyDescent="0.25">
      <c r="B93" s="443" t="s">
        <v>463</v>
      </c>
      <c r="C93" s="388" t="s">
        <v>347</v>
      </c>
      <c r="D93" s="380" t="s">
        <v>234</v>
      </c>
      <c r="E93" s="381">
        <v>10.75</v>
      </c>
      <c r="F93" s="382">
        <v>19.04</v>
      </c>
      <c r="G93" s="305">
        <f t="shared" si="26"/>
        <v>204.68</v>
      </c>
      <c r="H93" s="378"/>
      <c r="I93" s="151">
        <f t="shared" si="27"/>
        <v>1</v>
      </c>
      <c r="J93" s="447">
        <v>204.68</v>
      </c>
      <c r="K93" s="378"/>
      <c r="L93" s="152"/>
      <c r="M93" s="152">
        <v>204.68</v>
      </c>
      <c r="N93" s="118"/>
      <c r="O93" s="118"/>
    </row>
    <row r="94" spans="2:15" s="104" customFormat="1" ht="15" customHeight="1" x14ac:dyDescent="0.25">
      <c r="B94" s="443" t="s">
        <v>464</v>
      </c>
      <c r="C94" s="388" t="s">
        <v>444</v>
      </c>
      <c r="D94" s="380" t="s">
        <v>234</v>
      </c>
      <c r="E94" s="381">
        <v>8.75</v>
      </c>
      <c r="F94" s="382">
        <v>28.21</v>
      </c>
      <c r="G94" s="305">
        <f t="shared" si="26"/>
        <v>246.84</v>
      </c>
      <c r="H94" s="378"/>
      <c r="I94" s="151">
        <f t="shared" si="27"/>
        <v>1</v>
      </c>
      <c r="J94" s="447">
        <v>246.84</v>
      </c>
      <c r="K94" s="378"/>
      <c r="L94" s="152"/>
      <c r="M94" s="152">
        <v>246.84</v>
      </c>
      <c r="N94" s="118"/>
      <c r="O94" s="118"/>
    </row>
    <row r="95" spans="2:15" s="104" customFormat="1" ht="15" customHeight="1" x14ac:dyDescent="0.25">
      <c r="B95" s="443" t="s">
        <v>465</v>
      </c>
      <c r="C95" s="389" t="s">
        <v>349</v>
      </c>
      <c r="D95" s="380" t="s">
        <v>234</v>
      </c>
      <c r="E95" s="381">
        <v>8.75</v>
      </c>
      <c r="F95" s="382">
        <v>18.98</v>
      </c>
      <c r="G95" s="305">
        <f t="shared" si="26"/>
        <v>166.08</v>
      </c>
      <c r="H95" s="378"/>
      <c r="I95" s="151">
        <f t="shared" si="27"/>
        <v>1</v>
      </c>
      <c r="J95" s="447">
        <v>166.08</v>
      </c>
      <c r="K95" s="378"/>
      <c r="L95" s="152"/>
      <c r="M95" s="152">
        <v>166.08</v>
      </c>
      <c r="N95" s="118"/>
      <c r="O95" s="118"/>
    </row>
    <row r="96" spans="2:15" s="104" customFormat="1" ht="15" customHeight="1" x14ac:dyDescent="0.25">
      <c r="B96" s="442" t="s">
        <v>466</v>
      </c>
      <c r="C96" s="387" t="s">
        <v>467</v>
      </c>
      <c r="D96" s="390"/>
      <c r="E96" s="391"/>
      <c r="F96" s="392"/>
      <c r="G96" s="306"/>
      <c r="H96" s="378"/>
      <c r="I96" s="451"/>
      <c r="J96" s="447"/>
      <c r="K96" s="378"/>
      <c r="L96" s="152"/>
      <c r="M96" s="152"/>
      <c r="N96" s="118"/>
      <c r="O96" s="118"/>
    </row>
    <row r="97" spans="2:15" s="104" customFormat="1" ht="15" customHeight="1" x14ac:dyDescent="0.25">
      <c r="B97" s="443" t="s">
        <v>468</v>
      </c>
      <c r="C97" s="388" t="s">
        <v>469</v>
      </c>
      <c r="D97" s="380" t="s">
        <v>102</v>
      </c>
      <c r="E97" s="381">
        <v>653.79999999999995</v>
      </c>
      <c r="F97" s="382">
        <v>7.85</v>
      </c>
      <c r="G97" s="305">
        <f t="shared" ref="G97:G101" si="28">ROUND(E97*F97,2)</f>
        <v>5132.33</v>
      </c>
      <c r="H97" s="378"/>
      <c r="I97" s="151">
        <f t="shared" ref="I97:I101" si="29">ROUND(J97/$G97,4)</f>
        <v>0</v>
      </c>
      <c r="J97" s="447"/>
      <c r="K97" s="378"/>
      <c r="L97" s="152"/>
      <c r="M97" s="152">
        <v>5132.33</v>
      </c>
      <c r="N97" s="118"/>
      <c r="O97" s="118"/>
    </row>
    <row r="98" spans="2:15" s="104" customFormat="1" ht="15" customHeight="1" x14ac:dyDescent="0.25">
      <c r="B98" s="443" t="s">
        <v>470</v>
      </c>
      <c r="C98" s="388" t="s">
        <v>471</v>
      </c>
      <c r="D98" s="380" t="s">
        <v>101</v>
      </c>
      <c r="E98" s="381">
        <v>251.02</v>
      </c>
      <c r="F98" s="382">
        <v>73.97</v>
      </c>
      <c r="G98" s="305">
        <f t="shared" si="28"/>
        <v>18567.95</v>
      </c>
      <c r="H98" s="378"/>
      <c r="I98" s="151">
        <f t="shared" si="29"/>
        <v>0.18920000000000001</v>
      </c>
      <c r="J98" s="447">
        <v>3512.19</v>
      </c>
      <c r="K98" s="378"/>
      <c r="L98" s="152"/>
      <c r="M98" s="152">
        <v>18567.95</v>
      </c>
      <c r="N98" s="118"/>
      <c r="O98" s="118"/>
    </row>
    <row r="99" spans="2:15" s="104" customFormat="1" ht="15" customHeight="1" x14ac:dyDescent="0.25">
      <c r="B99" s="443" t="s">
        <v>472</v>
      </c>
      <c r="C99" s="389" t="s">
        <v>473</v>
      </c>
      <c r="D99" s="380" t="s">
        <v>234</v>
      </c>
      <c r="E99" s="381">
        <v>32.94</v>
      </c>
      <c r="F99" s="382">
        <v>477.23</v>
      </c>
      <c r="G99" s="305">
        <f t="shared" si="28"/>
        <v>15719.96</v>
      </c>
      <c r="H99" s="378"/>
      <c r="I99" s="151">
        <f t="shared" si="29"/>
        <v>0</v>
      </c>
      <c r="J99" s="447"/>
      <c r="K99" s="378"/>
      <c r="L99" s="152"/>
      <c r="M99" s="152">
        <v>15719.96</v>
      </c>
      <c r="N99" s="118"/>
      <c r="O99" s="118"/>
    </row>
    <row r="100" spans="2:15" s="104" customFormat="1" ht="15" customHeight="1" x14ac:dyDescent="0.25">
      <c r="B100" s="443" t="s">
        <v>474</v>
      </c>
      <c r="C100" s="388" t="s">
        <v>365</v>
      </c>
      <c r="D100" s="380" t="s">
        <v>101</v>
      </c>
      <c r="E100" s="381">
        <v>219.61</v>
      </c>
      <c r="F100" s="382">
        <v>2.92</v>
      </c>
      <c r="G100" s="305">
        <f t="shared" si="28"/>
        <v>641.26</v>
      </c>
      <c r="H100" s="378"/>
      <c r="I100" s="151">
        <f t="shared" si="29"/>
        <v>0</v>
      </c>
      <c r="J100" s="447"/>
      <c r="K100" s="378"/>
      <c r="L100" s="152"/>
      <c r="M100" s="152">
        <v>641.26</v>
      </c>
      <c r="N100" s="118"/>
      <c r="O100" s="118"/>
    </row>
    <row r="101" spans="2:15" s="104" customFormat="1" ht="15" customHeight="1" x14ac:dyDescent="0.25">
      <c r="B101" s="443" t="s">
        <v>475</v>
      </c>
      <c r="C101" s="388" t="s">
        <v>411</v>
      </c>
      <c r="D101" s="380" t="s">
        <v>145</v>
      </c>
      <c r="E101" s="381">
        <v>6</v>
      </c>
      <c r="F101" s="382">
        <v>4.4800000000000004</v>
      </c>
      <c r="G101" s="305">
        <f t="shared" si="28"/>
        <v>26.88</v>
      </c>
      <c r="H101" s="378"/>
      <c r="I101" s="151">
        <f t="shared" si="29"/>
        <v>0</v>
      </c>
      <c r="J101" s="447"/>
      <c r="K101" s="378"/>
      <c r="L101" s="152"/>
      <c r="M101" s="152">
        <v>26.88</v>
      </c>
      <c r="N101" s="118"/>
      <c r="O101" s="118"/>
    </row>
    <row r="102" spans="2:15" s="104" customFormat="1" ht="15" customHeight="1" x14ac:dyDescent="0.25">
      <c r="B102" s="441" t="s">
        <v>476</v>
      </c>
      <c r="C102" s="386" t="s">
        <v>477</v>
      </c>
      <c r="D102" s="393"/>
      <c r="E102" s="394"/>
      <c r="F102" s="395"/>
      <c r="G102" s="306"/>
      <c r="H102" s="378"/>
      <c r="I102" s="451"/>
      <c r="J102" s="447"/>
      <c r="K102" s="378"/>
      <c r="L102" s="152"/>
      <c r="M102" s="152"/>
      <c r="N102" s="118"/>
      <c r="O102" s="118"/>
    </row>
    <row r="103" spans="2:15" s="104" customFormat="1" ht="15" customHeight="1" x14ac:dyDescent="0.25">
      <c r="B103" s="442" t="s">
        <v>478</v>
      </c>
      <c r="C103" s="399" t="s">
        <v>479</v>
      </c>
      <c r="D103" s="390"/>
      <c r="E103" s="391"/>
      <c r="F103" s="392"/>
      <c r="G103" s="306"/>
      <c r="H103" s="378"/>
      <c r="I103" s="451"/>
      <c r="J103" s="447"/>
      <c r="K103" s="378"/>
      <c r="L103" s="152"/>
      <c r="M103" s="152"/>
      <c r="N103" s="118"/>
      <c r="O103" s="118"/>
    </row>
    <row r="104" spans="2:15" s="104" customFormat="1" ht="15" customHeight="1" x14ac:dyDescent="0.25">
      <c r="B104" s="443" t="s">
        <v>480</v>
      </c>
      <c r="C104" s="388" t="s">
        <v>229</v>
      </c>
      <c r="D104" s="380" t="s">
        <v>101</v>
      </c>
      <c r="E104" s="381">
        <v>20.079999999999998</v>
      </c>
      <c r="F104" s="382">
        <v>1.06</v>
      </c>
      <c r="G104" s="305">
        <f t="shared" ref="G104:G105" si="30">ROUND(E104*F104,2)</f>
        <v>21.28</v>
      </c>
      <c r="H104" s="378"/>
      <c r="I104" s="151">
        <f t="shared" ref="I104:I105" si="31">ROUND(J104/$G104,4)</f>
        <v>1</v>
      </c>
      <c r="J104" s="447">
        <v>21.28</v>
      </c>
      <c r="K104" s="378"/>
      <c r="L104" s="152"/>
      <c r="M104" s="152">
        <v>21.28</v>
      </c>
      <c r="N104" s="118"/>
      <c r="O104" s="118"/>
    </row>
    <row r="105" spans="2:15" s="104" customFormat="1" ht="15" customHeight="1" x14ac:dyDescent="0.25">
      <c r="B105" s="443" t="s">
        <v>481</v>
      </c>
      <c r="C105" s="388" t="s">
        <v>482</v>
      </c>
      <c r="D105" s="380" t="s">
        <v>101</v>
      </c>
      <c r="E105" s="381">
        <v>20.079999999999998</v>
      </c>
      <c r="F105" s="382">
        <v>1.69</v>
      </c>
      <c r="G105" s="305">
        <f t="shared" si="30"/>
        <v>33.94</v>
      </c>
      <c r="H105" s="378"/>
      <c r="I105" s="151">
        <f t="shared" si="31"/>
        <v>0</v>
      </c>
      <c r="J105" s="447"/>
      <c r="K105" s="378"/>
      <c r="L105" s="152"/>
      <c r="M105" s="152">
        <v>33.94</v>
      </c>
      <c r="N105" s="118"/>
      <c r="O105" s="118"/>
    </row>
    <row r="106" spans="2:15" s="104" customFormat="1" ht="15" customHeight="1" x14ac:dyDescent="0.25">
      <c r="B106" s="442" t="s">
        <v>483</v>
      </c>
      <c r="C106" s="387" t="s">
        <v>226</v>
      </c>
      <c r="D106" s="390"/>
      <c r="E106" s="391"/>
      <c r="F106" s="392"/>
      <c r="G106" s="306"/>
      <c r="H106" s="378"/>
      <c r="I106" s="451"/>
      <c r="J106" s="447"/>
      <c r="K106" s="378"/>
      <c r="L106" s="152"/>
      <c r="M106" s="152"/>
      <c r="N106" s="118"/>
      <c r="O106" s="118"/>
    </row>
    <row r="107" spans="2:15" s="104" customFormat="1" ht="15" customHeight="1" x14ac:dyDescent="0.25">
      <c r="B107" s="443" t="s">
        <v>484</v>
      </c>
      <c r="C107" s="388" t="s">
        <v>392</v>
      </c>
      <c r="D107" s="380" t="s">
        <v>234</v>
      </c>
      <c r="E107" s="381">
        <v>22.39</v>
      </c>
      <c r="F107" s="382">
        <v>22.11</v>
      </c>
      <c r="G107" s="305">
        <f t="shared" ref="G107:G109" si="32">ROUND(E107*F107,2)</f>
        <v>495.04</v>
      </c>
      <c r="H107" s="378"/>
      <c r="I107" s="151">
        <f t="shared" ref="I107:I109" si="33">ROUND(J107/$G107,4)</f>
        <v>0</v>
      </c>
      <c r="J107" s="447"/>
      <c r="K107" s="378"/>
      <c r="L107" s="152"/>
      <c r="M107" s="152">
        <v>495.04</v>
      </c>
      <c r="N107" s="118"/>
      <c r="O107" s="118"/>
    </row>
    <row r="108" spans="2:15" s="104" customFormat="1" ht="15" customHeight="1" x14ac:dyDescent="0.25">
      <c r="B108" s="443" t="s">
        <v>485</v>
      </c>
      <c r="C108" s="388" t="s">
        <v>486</v>
      </c>
      <c r="D108" s="380" t="s">
        <v>234</v>
      </c>
      <c r="E108" s="381">
        <v>14.57</v>
      </c>
      <c r="F108" s="382">
        <v>83.65</v>
      </c>
      <c r="G108" s="305">
        <f t="shared" si="32"/>
        <v>1218.78</v>
      </c>
      <c r="H108" s="378"/>
      <c r="I108" s="151">
        <f t="shared" si="33"/>
        <v>0</v>
      </c>
      <c r="J108" s="447"/>
      <c r="K108" s="378"/>
      <c r="L108" s="152"/>
      <c r="M108" s="152">
        <v>1218.78</v>
      </c>
      <c r="N108" s="118"/>
      <c r="O108" s="118"/>
    </row>
    <row r="109" spans="2:15" s="104" customFormat="1" ht="15" customHeight="1" x14ac:dyDescent="0.25">
      <c r="B109" s="443" t="s">
        <v>487</v>
      </c>
      <c r="C109" s="389" t="s">
        <v>349</v>
      </c>
      <c r="D109" s="380" t="s">
        <v>234</v>
      </c>
      <c r="E109" s="381">
        <v>9.7799999999999994</v>
      </c>
      <c r="F109" s="382">
        <v>18.98</v>
      </c>
      <c r="G109" s="305">
        <f t="shared" si="32"/>
        <v>185.62</v>
      </c>
      <c r="H109" s="378"/>
      <c r="I109" s="151">
        <f t="shared" si="33"/>
        <v>0</v>
      </c>
      <c r="J109" s="447"/>
      <c r="K109" s="378"/>
      <c r="L109" s="152"/>
      <c r="M109" s="152">
        <v>185.62</v>
      </c>
      <c r="N109" s="118"/>
      <c r="O109" s="118"/>
    </row>
    <row r="110" spans="2:15" s="104" customFormat="1" ht="15" customHeight="1" x14ac:dyDescent="0.25">
      <c r="B110" s="442" t="s">
        <v>488</v>
      </c>
      <c r="C110" s="387" t="s">
        <v>227</v>
      </c>
      <c r="D110" s="390"/>
      <c r="E110" s="391"/>
      <c r="F110" s="392"/>
      <c r="G110" s="306"/>
      <c r="H110" s="378"/>
      <c r="I110" s="451"/>
      <c r="J110" s="447"/>
      <c r="K110" s="378"/>
      <c r="L110" s="152"/>
      <c r="M110" s="152"/>
      <c r="N110" s="118"/>
      <c r="O110" s="118"/>
    </row>
    <row r="111" spans="2:15" s="104" customFormat="1" ht="15" customHeight="1" x14ac:dyDescent="0.25">
      <c r="B111" s="443" t="s">
        <v>489</v>
      </c>
      <c r="C111" s="388" t="s">
        <v>490</v>
      </c>
      <c r="D111" s="380" t="s">
        <v>101</v>
      </c>
      <c r="E111" s="381">
        <v>20.079999999999998</v>
      </c>
      <c r="F111" s="382">
        <v>40.1</v>
      </c>
      <c r="G111" s="305">
        <f>ROUND(E111*F111,2)</f>
        <v>805.21</v>
      </c>
      <c r="H111" s="378"/>
      <c r="I111" s="151">
        <f>ROUND(J111/$G111,4)</f>
        <v>0</v>
      </c>
      <c r="J111" s="447"/>
      <c r="K111" s="378"/>
      <c r="L111" s="152"/>
      <c r="M111" s="152">
        <v>805.21</v>
      </c>
      <c r="N111" s="118"/>
      <c r="O111" s="118"/>
    </row>
    <row r="112" spans="2:15" s="104" customFormat="1" ht="15" customHeight="1" x14ac:dyDescent="0.25">
      <c r="B112" s="442" t="s">
        <v>491</v>
      </c>
      <c r="C112" s="387" t="s">
        <v>228</v>
      </c>
      <c r="D112" s="390"/>
      <c r="E112" s="391"/>
      <c r="F112" s="392"/>
      <c r="G112" s="306"/>
      <c r="H112" s="378"/>
      <c r="I112" s="451"/>
      <c r="J112" s="447"/>
      <c r="K112" s="378"/>
      <c r="L112" s="152"/>
      <c r="M112" s="152"/>
      <c r="N112" s="118"/>
      <c r="O112" s="118"/>
    </row>
    <row r="113" spans="2:15" s="104" customFormat="1" ht="15" customHeight="1" x14ac:dyDescent="0.25">
      <c r="B113" s="444" t="s">
        <v>492</v>
      </c>
      <c r="C113" s="400" t="s">
        <v>232</v>
      </c>
      <c r="D113" s="401"/>
      <c r="E113" s="402"/>
      <c r="F113" s="403"/>
      <c r="G113" s="306"/>
      <c r="H113" s="378"/>
      <c r="I113" s="451"/>
      <c r="J113" s="447"/>
      <c r="K113" s="378"/>
      <c r="L113" s="152"/>
      <c r="M113" s="152"/>
      <c r="N113" s="118"/>
      <c r="O113" s="118"/>
    </row>
    <row r="114" spans="2:15" s="104" customFormat="1" ht="15" customHeight="1" x14ac:dyDescent="0.25">
      <c r="B114" s="443" t="s">
        <v>493</v>
      </c>
      <c r="C114" s="388" t="s">
        <v>469</v>
      </c>
      <c r="D114" s="380" t="s">
        <v>102</v>
      </c>
      <c r="E114" s="381">
        <v>400.33</v>
      </c>
      <c r="F114" s="382">
        <v>7.85</v>
      </c>
      <c r="G114" s="305">
        <f t="shared" ref="G114:G117" si="34">ROUND(E114*F114,2)</f>
        <v>3142.59</v>
      </c>
      <c r="H114" s="378"/>
      <c r="I114" s="151">
        <f t="shared" ref="I114:I117" si="35">ROUND(J114/$G114,4)</f>
        <v>0</v>
      </c>
      <c r="J114" s="447"/>
      <c r="K114" s="378"/>
      <c r="L114" s="152"/>
      <c r="M114" s="152">
        <v>3142.59</v>
      </c>
      <c r="N114" s="118"/>
      <c r="O114" s="118"/>
    </row>
    <row r="115" spans="2:15" s="104" customFormat="1" ht="15" customHeight="1" x14ac:dyDescent="0.25">
      <c r="B115" s="443" t="s">
        <v>494</v>
      </c>
      <c r="C115" s="388" t="s">
        <v>495</v>
      </c>
      <c r="D115" s="380" t="s">
        <v>101</v>
      </c>
      <c r="E115" s="381">
        <v>14.88</v>
      </c>
      <c r="F115" s="382">
        <v>73.97</v>
      </c>
      <c r="G115" s="305">
        <f t="shared" si="34"/>
        <v>1100.67</v>
      </c>
      <c r="H115" s="378"/>
      <c r="I115" s="151">
        <f t="shared" si="35"/>
        <v>0</v>
      </c>
      <c r="J115" s="447"/>
      <c r="K115" s="378"/>
      <c r="L115" s="152"/>
      <c r="M115" s="152">
        <v>1100.67</v>
      </c>
      <c r="N115" s="118"/>
      <c r="O115" s="118"/>
    </row>
    <row r="116" spans="2:15" s="104" customFormat="1" ht="15" customHeight="1" x14ac:dyDescent="0.25">
      <c r="B116" s="443" t="s">
        <v>496</v>
      </c>
      <c r="C116" s="388" t="s">
        <v>497</v>
      </c>
      <c r="D116" s="380" t="s">
        <v>234</v>
      </c>
      <c r="E116" s="381">
        <v>6.01</v>
      </c>
      <c r="F116" s="382">
        <v>630.15</v>
      </c>
      <c r="G116" s="305">
        <f t="shared" si="34"/>
        <v>3787.2</v>
      </c>
      <c r="H116" s="378"/>
      <c r="I116" s="151">
        <f t="shared" si="35"/>
        <v>0</v>
      </c>
      <c r="J116" s="447"/>
      <c r="K116" s="378"/>
      <c r="L116" s="152"/>
      <c r="M116" s="152">
        <v>3787.2</v>
      </c>
      <c r="N116" s="118"/>
      <c r="O116" s="118"/>
    </row>
    <row r="117" spans="2:15" s="104" customFormat="1" ht="15" customHeight="1" x14ac:dyDescent="0.25">
      <c r="B117" s="443" t="s">
        <v>498</v>
      </c>
      <c r="C117" s="388" t="s">
        <v>409</v>
      </c>
      <c r="D117" s="380" t="s">
        <v>101</v>
      </c>
      <c r="E117" s="381">
        <v>20.079999999999998</v>
      </c>
      <c r="F117" s="382">
        <v>2.92</v>
      </c>
      <c r="G117" s="305">
        <f t="shared" si="34"/>
        <v>58.63</v>
      </c>
      <c r="H117" s="378"/>
      <c r="I117" s="151">
        <f t="shared" si="35"/>
        <v>0</v>
      </c>
      <c r="J117" s="447"/>
      <c r="K117" s="378"/>
      <c r="L117" s="152"/>
      <c r="M117" s="152">
        <v>58.63</v>
      </c>
      <c r="N117" s="118"/>
      <c r="O117" s="118"/>
    </row>
    <row r="118" spans="2:15" s="104" customFormat="1" ht="15" customHeight="1" x14ac:dyDescent="0.25">
      <c r="B118" s="444" t="s">
        <v>499</v>
      </c>
      <c r="C118" s="400" t="s">
        <v>500</v>
      </c>
      <c r="D118" s="401"/>
      <c r="E118" s="402"/>
      <c r="F118" s="403"/>
      <c r="G118" s="306"/>
      <c r="H118" s="378"/>
      <c r="I118" s="451"/>
      <c r="J118" s="447"/>
      <c r="K118" s="378"/>
      <c r="L118" s="152"/>
      <c r="M118" s="152"/>
      <c r="N118" s="118"/>
      <c r="O118" s="118"/>
    </row>
    <row r="119" spans="2:15" s="104" customFormat="1" ht="15" customHeight="1" x14ac:dyDescent="0.25">
      <c r="B119" s="443" t="s">
        <v>501</v>
      </c>
      <c r="C119" s="388" t="s">
        <v>469</v>
      </c>
      <c r="D119" s="380" t="s">
        <v>102</v>
      </c>
      <c r="E119" s="381">
        <v>175.55</v>
      </c>
      <c r="F119" s="382">
        <v>7.85</v>
      </c>
      <c r="G119" s="305">
        <f t="shared" ref="G119:G122" si="36">ROUND(E119*F119,2)</f>
        <v>1378.07</v>
      </c>
      <c r="H119" s="378"/>
      <c r="I119" s="151">
        <f t="shared" ref="I119:I122" si="37">ROUND(J119/$G119,4)</f>
        <v>0</v>
      </c>
      <c r="J119" s="447"/>
      <c r="K119" s="378"/>
      <c r="L119" s="152"/>
      <c r="M119" s="152">
        <v>1378.07</v>
      </c>
      <c r="N119" s="118"/>
      <c r="O119" s="118"/>
    </row>
    <row r="120" spans="2:15" s="104" customFormat="1" ht="15" customHeight="1" x14ac:dyDescent="0.25">
      <c r="B120" s="443" t="s">
        <v>502</v>
      </c>
      <c r="C120" s="388" t="s">
        <v>503</v>
      </c>
      <c r="D120" s="380" t="s">
        <v>101</v>
      </c>
      <c r="E120" s="381">
        <v>53.48</v>
      </c>
      <c r="F120" s="382">
        <v>73.97</v>
      </c>
      <c r="G120" s="305">
        <f t="shared" si="36"/>
        <v>3955.92</v>
      </c>
      <c r="H120" s="378"/>
      <c r="I120" s="151">
        <f t="shared" si="37"/>
        <v>0</v>
      </c>
      <c r="J120" s="447"/>
      <c r="K120" s="378"/>
      <c r="L120" s="152"/>
      <c r="M120" s="152">
        <v>3955.92</v>
      </c>
      <c r="N120" s="118"/>
      <c r="O120" s="118"/>
    </row>
    <row r="121" spans="2:15" s="104" customFormat="1" ht="15" customHeight="1" x14ac:dyDescent="0.25">
      <c r="B121" s="443" t="s">
        <v>504</v>
      </c>
      <c r="C121" s="388" t="s">
        <v>505</v>
      </c>
      <c r="D121" s="380" t="s">
        <v>234</v>
      </c>
      <c r="E121" s="381">
        <v>3.82</v>
      </c>
      <c r="F121" s="382">
        <v>630.15</v>
      </c>
      <c r="G121" s="305">
        <f t="shared" si="36"/>
        <v>2407.17</v>
      </c>
      <c r="H121" s="378"/>
      <c r="I121" s="151">
        <f t="shared" si="37"/>
        <v>0</v>
      </c>
      <c r="J121" s="447"/>
      <c r="K121" s="378"/>
      <c r="L121" s="152"/>
      <c r="M121" s="152">
        <v>2407.17</v>
      </c>
      <c r="N121" s="118"/>
      <c r="O121" s="118"/>
    </row>
    <row r="122" spans="2:15" s="104" customFormat="1" ht="15" customHeight="1" x14ac:dyDescent="0.25">
      <c r="B122" s="443" t="s">
        <v>506</v>
      </c>
      <c r="C122" s="388" t="s">
        <v>409</v>
      </c>
      <c r="D122" s="380" t="s">
        <v>101</v>
      </c>
      <c r="E122" s="381">
        <v>50.96</v>
      </c>
      <c r="F122" s="382">
        <v>2.92</v>
      </c>
      <c r="G122" s="305">
        <f t="shared" si="36"/>
        <v>148.80000000000001</v>
      </c>
      <c r="H122" s="378"/>
      <c r="I122" s="151">
        <f t="shared" si="37"/>
        <v>0</v>
      </c>
      <c r="J122" s="447"/>
      <c r="K122" s="378"/>
      <c r="L122" s="152"/>
      <c r="M122" s="152">
        <v>148.80000000000001</v>
      </c>
      <c r="N122" s="118"/>
      <c r="O122" s="118"/>
    </row>
    <row r="123" spans="2:15" s="104" customFormat="1" ht="15" customHeight="1" x14ac:dyDescent="0.25">
      <c r="B123" s="441" t="s">
        <v>507</v>
      </c>
      <c r="C123" s="404" t="s">
        <v>508</v>
      </c>
      <c r="D123" s="405"/>
      <c r="E123" s="406"/>
      <c r="F123" s="407"/>
      <c r="G123" s="306"/>
      <c r="H123" s="378"/>
      <c r="I123" s="451"/>
      <c r="J123" s="447"/>
      <c r="K123" s="378"/>
      <c r="L123" s="152"/>
      <c r="M123" s="152"/>
      <c r="N123" s="118"/>
      <c r="O123" s="118"/>
    </row>
    <row r="124" spans="2:15" s="104" customFormat="1" ht="15" customHeight="1" x14ac:dyDescent="0.25">
      <c r="B124" s="442" t="s">
        <v>509</v>
      </c>
      <c r="C124" s="387" t="s">
        <v>226</v>
      </c>
      <c r="D124" s="390"/>
      <c r="E124" s="391"/>
      <c r="F124" s="392"/>
      <c r="G124" s="306"/>
      <c r="H124" s="378"/>
      <c r="I124" s="451"/>
      <c r="J124" s="447"/>
      <c r="K124" s="378"/>
      <c r="L124" s="152"/>
      <c r="M124" s="152"/>
      <c r="N124" s="118"/>
      <c r="O124" s="118"/>
    </row>
    <row r="125" spans="2:15" s="104" customFormat="1" ht="15" customHeight="1" x14ac:dyDescent="0.25">
      <c r="B125" s="443" t="s">
        <v>510</v>
      </c>
      <c r="C125" s="388" t="s">
        <v>511</v>
      </c>
      <c r="D125" s="380" t="s">
        <v>234</v>
      </c>
      <c r="E125" s="381">
        <v>7.58</v>
      </c>
      <c r="F125" s="382">
        <v>63.47</v>
      </c>
      <c r="G125" s="305">
        <f t="shared" ref="G125:G129" si="38">ROUND(E125*F125,2)</f>
        <v>481.1</v>
      </c>
      <c r="H125" s="378"/>
      <c r="I125" s="151">
        <f t="shared" ref="I125:I129" si="39">ROUND(J125/$G125,4)</f>
        <v>0</v>
      </c>
      <c r="J125" s="447"/>
      <c r="K125" s="378"/>
      <c r="L125" s="152">
        <v>7.58</v>
      </c>
      <c r="M125" s="152">
        <v>0</v>
      </c>
      <c r="N125" s="118"/>
      <c r="O125" s="118"/>
    </row>
    <row r="126" spans="2:15" s="104" customFormat="1" ht="15" customHeight="1" x14ac:dyDescent="0.25">
      <c r="B126" s="443" t="s">
        <v>512</v>
      </c>
      <c r="C126" s="388" t="s">
        <v>513</v>
      </c>
      <c r="D126" s="380" t="s">
        <v>234</v>
      </c>
      <c r="E126" s="381">
        <v>1.8</v>
      </c>
      <c r="F126" s="382">
        <v>83.65</v>
      </c>
      <c r="G126" s="305">
        <f t="shared" si="38"/>
        <v>150.57</v>
      </c>
      <c r="H126" s="378"/>
      <c r="I126" s="151">
        <f t="shared" si="39"/>
        <v>0</v>
      </c>
      <c r="J126" s="447"/>
      <c r="K126" s="378"/>
      <c r="L126" s="152">
        <v>1.8</v>
      </c>
      <c r="M126" s="152">
        <v>0</v>
      </c>
      <c r="N126" s="118"/>
      <c r="O126" s="118"/>
    </row>
    <row r="127" spans="2:15" s="104" customFormat="1" ht="15" customHeight="1" x14ac:dyDescent="0.25">
      <c r="B127" s="443" t="s">
        <v>514</v>
      </c>
      <c r="C127" s="388" t="s">
        <v>515</v>
      </c>
      <c r="D127" s="380" t="s">
        <v>101</v>
      </c>
      <c r="E127" s="381">
        <v>21.66</v>
      </c>
      <c r="F127" s="382">
        <v>4.6500000000000004</v>
      </c>
      <c r="G127" s="305">
        <f t="shared" si="38"/>
        <v>100.72</v>
      </c>
      <c r="H127" s="378"/>
      <c r="I127" s="151">
        <f t="shared" si="39"/>
        <v>0</v>
      </c>
      <c r="J127" s="447"/>
      <c r="K127" s="378"/>
      <c r="L127" s="152">
        <v>21.66</v>
      </c>
      <c r="M127" s="152">
        <v>0</v>
      </c>
      <c r="N127" s="118"/>
      <c r="O127" s="118"/>
    </row>
    <row r="128" spans="2:15" s="104" customFormat="1" ht="15" customHeight="1" x14ac:dyDescent="0.25">
      <c r="B128" s="443" t="s">
        <v>516</v>
      </c>
      <c r="C128" s="389" t="s">
        <v>349</v>
      </c>
      <c r="D128" s="380" t="s">
        <v>234</v>
      </c>
      <c r="E128" s="381">
        <v>9.48</v>
      </c>
      <c r="F128" s="382">
        <v>18.98</v>
      </c>
      <c r="G128" s="305">
        <f t="shared" si="38"/>
        <v>179.93</v>
      </c>
      <c r="H128" s="378"/>
      <c r="I128" s="151">
        <f t="shared" si="39"/>
        <v>0</v>
      </c>
      <c r="J128" s="447"/>
      <c r="K128" s="378"/>
      <c r="L128" s="152">
        <v>9.48</v>
      </c>
      <c r="M128" s="152">
        <v>0</v>
      </c>
      <c r="N128" s="118"/>
      <c r="O128" s="118"/>
    </row>
    <row r="129" spans="2:15" s="104" customFormat="1" ht="15" customHeight="1" x14ac:dyDescent="0.25">
      <c r="B129" s="443" t="s">
        <v>517</v>
      </c>
      <c r="C129" s="389" t="s">
        <v>518</v>
      </c>
      <c r="D129" s="380" t="s">
        <v>101</v>
      </c>
      <c r="E129" s="381">
        <v>21.66</v>
      </c>
      <c r="F129" s="382">
        <v>60.87</v>
      </c>
      <c r="G129" s="305">
        <f t="shared" si="38"/>
        <v>1318.44</v>
      </c>
      <c r="H129" s="378"/>
      <c r="I129" s="151">
        <f t="shared" si="39"/>
        <v>0</v>
      </c>
      <c r="J129" s="447"/>
      <c r="K129" s="378"/>
      <c r="L129" s="152">
        <v>21.66</v>
      </c>
      <c r="M129" s="152">
        <v>0</v>
      </c>
      <c r="N129" s="118"/>
      <c r="O129" s="118"/>
    </row>
    <row r="130" spans="2:15" s="104" customFormat="1" ht="15" customHeight="1" x14ac:dyDescent="0.25">
      <c r="B130" s="442" t="s">
        <v>519</v>
      </c>
      <c r="C130" s="399" t="s">
        <v>227</v>
      </c>
      <c r="D130" s="390"/>
      <c r="E130" s="391"/>
      <c r="F130" s="392"/>
      <c r="G130" s="306"/>
      <c r="H130" s="378"/>
      <c r="I130" s="451"/>
      <c r="J130" s="447"/>
      <c r="K130" s="378"/>
      <c r="L130" s="152"/>
      <c r="M130" s="152"/>
      <c r="N130" s="118"/>
      <c r="O130" s="118"/>
    </row>
    <row r="131" spans="2:15" s="104" customFormat="1" ht="15" customHeight="1" x14ac:dyDescent="0.25">
      <c r="B131" s="443" t="s">
        <v>520</v>
      </c>
      <c r="C131" s="388" t="s">
        <v>521</v>
      </c>
      <c r="D131" s="380" t="s">
        <v>234</v>
      </c>
      <c r="E131" s="381">
        <v>6.75</v>
      </c>
      <c r="F131" s="382">
        <v>485.73</v>
      </c>
      <c r="G131" s="305">
        <f t="shared" ref="G131:G133" si="40">ROUND(E131*F131,2)</f>
        <v>3278.68</v>
      </c>
      <c r="H131" s="378"/>
      <c r="I131" s="151">
        <f t="shared" ref="I131:I133" si="41">ROUND(J131/$G131,4)</f>
        <v>0</v>
      </c>
      <c r="J131" s="447"/>
      <c r="K131" s="378"/>
      <c r="L131" s="152"/>
      <c r="M131" s="152">
        <v>3278.68</v>
      </c>
      <c r="N131" s="118"/>
      <c r="O131" s="118"/>
    </row>
    <row r="132" spans="2:15" s="104" customFormat="1" ht="15" customHeight="1" x14ac:dyDescent="0.25">
      <c r="B132" s="443" t="s">
        <v>522</v>
      </c>
      <c r="C132" s="388" t="s">
        <v>523</v>
      </c>
      <c r="D132" s="380" t="s">
        <v>101</v>
      </c>
      <c r="E132" s="381">
        <v>5.78</v>
      </c>
      <c r="F132" s="382">
        <v>74.11</v>
      </c>
      <c r="G132" s="305">
        <f t="shared" si="40"/>
        <v>428.36</v>
      </c>
      <c r="H132" s="378"/>
      <c r="I132" s="151">
        <f t="shared" si="41"/>
        <v>0</v>
      </c>
      <c r="J132" s="447"/>
      <c r="K132" s="378"/>
      <c r="L132" s="152"/>
      <c r="M132" s="152">
        <v>428.36</v>
      </c>
      <c r="N132" s="118"/>
      <c r="O132" s="118"/>
    </row>
    <row r="133" spans="2:15" s="104" customFormat="1" ht="15" customHeight="1" x14ac:dyDescent="0.25">
      <c r="B133" s="443" t="s">
        <v>524</v>
      </c>
      <c r="C133" s="388" t="s">
        <v>525</v>
      </c>
      <c r="D133" s="380" t="s">
        <v>101</v>
      </c>
      <c r="E133" s="381">
        <v>21.66</v>
      </c>
      <c r="F133" s="382">
        <v>2.92</v>
      </c>
      <c r="G133" s="305">
        <f t="shared" si="40"/>
        <v>63.25</v>
      </c>
      <c r="H133" s="378"/>
      <c r="I133" s="151">
        <f t="shared" si="41"/>
        <v>0</v>
      </c>
      <c r="J133" s="447"/>
      <c r="K133" s="378"/>
      <c r="L133" s="152"/>
      <c r="M133" s="152">
        <v>63.25</v>
      </c>
      <c r="N133" s="118"/>
      <c r="O133" s="118"/>
    </row>
    <row r="134" spans="2:15" s="104" customFormat="1" ht="15" customHeight="1" x14ac:dyDescent="0.25">
      <c r="B134" s="441" t="s">
        <v>526</v>
      </c>
      <c r="C134" s="404" t="s">
        <v>527</v>
      </c>
      <c r="D134" s="393"/>
      <c r="E134" s="394"/>
      <c r="F134" s="395"/>
      <c r="G134" s="306"/>
      <c r="H134" s="378"/>
      <c r="I134" s="451"/>
      <c r="J134" s="447"/>
      <c r="K134" s="378"/>
      <c r="L134" s="152"/>
      <c r="M134" s="152"/>
      <c r="N134" s="118"/>
      <c r="O134" s="118"/>
    </row>
    <row r="135" spans="2:15" s="104" customFormat="1" ht="15" customHeight="1" x14ac:dyDescent="0.25">
      <c r="B135" s="443" t="s">
        <v>528</v>
      </c>
      <c r="C135" s="388" t="s">
        <v>529</v>
      </c>
      <c r="D135" s="380" t="s">
        <v>101</v>
      </c>
      <c r="E135" s="381">
        <v>228.04</v>
      </c>
      <c r="F135" s="382">
        <v>51.88</v>
      </c>
      <c r="G135" s="305">
        <f t="shared" ref="G135:G136" si="42">ROUND(E135*F135,2)</f>
        <v>11830.72</v>
      </c>
      <c r="H135" s="378"/>
      <c r="I135" s="151">
        <f t="shared" ref="I135:I136" si="43">ROUND(J135/$G135,4)</f>
        <v>0</v>
      </c>
      <c r="J135" s="447"/>
      <c r="K135" s="378"/>
      <c r="L135" s="152"/>
      <c r="M135" s="152">
        <v>11830.72</v>
      </c>
      <c r="N135" s="118"/>
      <c r="O135" s="118"/>
    </row>
    <row r="136" spans="2:15" s="104" customFormat="1" ht="15" customHeight="1" x14ac:dyDescent="0.25">
      <c r="B136" s="443" t="s">
        <v>530</v>
      </c>
      <c r="C136" s="388" t="s">
        <v>531</v>
      </c>
      <c r="D136" s="380" t="s">
        <v>101</v>
      </c>
      <c r="E136" s="381">
        <v>228.04</v>
      </c>
      <c r="F136" s="382">
        <v>28.17</v>
      </c>
      <c r="G136" s="305">
        <f t="shared" si="42"/>
        <v>6423.89</v>
      </c>
      <c r="H136" s="378"/>
      <c r="I136" s="151">
        <f t="shared" si="43"/>
        <v>0</v>
      </c>
      <c r="J136" s="447"/>
      <c r="K136" s="378"/>
      <c r="L136" s="152"/>
      <c r="M136" s="152">
        <v>6423.89</v>
      </c>
      <c r="N136" s="118"/>
      <c r="O136" s="118"/>
    </row>
    <row r="137" spans="2:15" s="104" customFormat="1" ht="15" customHeight="1" x14ac:dyDescent="0.25">
      <c r="B137" s="441" t="s">
        <v>532</v>
      </c>
      <c r="C137" s="386" t="s">
        <v>533</v>
      </c>
      <c r="D137" s="393"/>
      <c r="E137" s="394"/>
      <c r="F137" s="395"/>
      <c r="G137" s="306"/>
      <c r="H137" s="378"/>
      <c r="I137" s="451"/>
      <c r="J137" s="447"/>
      <c r="K137" s="378"/>
      <c r="L137" s="152"/>
      <c r="M137" s="152"/>
      <c r="N137" s="118"/>
      <c r="O137" s="118"/>
    </row>
    <row r="138" spans="2:15" s="104" customFormat="1" ht="15" customHeight="1" x14ac:dyDescent="0.25">
      <c r="B138" s="443" t="s">
        <v>534</v>
      </c>
      <c r="C138" s="389" t="s">
        <v>535</v>
      </c>
      <c r="D138" s="380" t="s">
        <v>233</v>
      </c>
      <c r="E138" s="381">
        <v>40</v>
      </c>
      <c r="F138" s="382">
        <v>30.6</v>
      </c>
      <c r="G138" s="305">
        <f>ROUND(E138*F138,2)</f>
        <v>1224</v>
      </c>
      <c r="H138" s="378"/>
      <c r="I138" s="151">
        <f>ROUND(J138/$G138,4)</f>
        <v>0</v>
      </c>
      <c r="J138" s="447"/>
      <c r="K138" s="378"/>
      <c r="L138" s="152"/>
      <c r="M138" s="152">
        <v>1224</v>
      </c>
      <c r="N138" s="118"/>
      <c r="O138" s="118"/>
    </row>
    <row r="139" spans="2:15" s="104" customFormat="1" ht="15" customHeight="1" x14ac:dyDescent="0.25">
      <c r="B139" s="441" t="s">
        <v>536</v>
      </c>
      <c r="C139" s="386" t="s">
        <v>109</v>
      </c>
      <c r="D139" s="393"/>
      <c r="E139" s="394"/>
      <c r="F139" s="395"/>
      <c r="G139" s="306"/>
      <c r="H139" s="378"/>
      <c r="I139" s="451"/>
      <c r="J139" s="447"/>
      <c r="K139" s="378"/>
      <c r="L139" s="152"/>
      <c r="M139" s="152"/>
      <c r="N139" s="118"/>
      <c r="O139" s="118"/>
    </row>
    <row r="140" spans="2:15" s="104" customFormat="1" ht="15" customHeight="1" x14ac:dyDescent="0.25">
      <c r="B140" s="443" t="s">
        <v>537</v>
      </c>
      <c r="C140" s="388" t="s">
        <v>538</v>
      </c>
      <c r="D140" s="380" t="s">
        <v>233</v>
      </c>
      <c r="E140" s="381">
        <v>4</v>
      </c>
      <c r="F140" s="382">
        <v>2550</v>
      </c>
      <c r="G140" s="305">
        <f>ROUND(E140*F140,2)</f>
        <v>10200</v>
      </c>
      <c r="H140" s="378"/>
      <c r="I140" s="151">
        <f>ROUND(J140/$G140,4)</f>
        <v>0</v>
      </c>
      <c r="J140" s="447"/>
      <c r="K140" s="378"/>
      <c r="L140" s="152">
        <v>4</v>
      </c>
      <c r="M140" s="152">
        <v>0</v>
      </c>
      <c r="N140" s="118"/>
      <c r="O140" s="118"/>
    </row>
    <row r="141" spans="2:15" s="104" customFormat="1" ht="15" customHeight="1" x14ac:dyDescent="0.25">
      <c r="B141" s="441" t="s">
        <v>539</v>
      </c>
      <c r="C141" s="386" t="s">
        <v>540</v>
      </c>
      <c r="D141" s="393"/>
      <c r="E141" s="394"/>
      <c r="F141" s="395"/>
      <c r="G141" s="306"/>
      <c r="H141" s="378"/>
      <c r="I141" s="451"/>
      <c r="J141" s="447"/>
      <c r="K141" s="378"/>
      <c r="L141" s="152"/>
      <c r="M141" s="152"/>
      <c r="N141" s="118"/>
      <c r="O141" s="118"/>
    </row>
    <row r="142" spans="2:15" s="104" customFormat="1" ht="15" customHeight="1" x14ac:dyDescent="0.25">
      <c r="B142" s="443" t="s">
        <v>541</v>
      </c>
      <c r="C142" s="389" t="s">
        <v>542</v>
      </c>
      <c r="D142" s="380" t="s">
        <v>5</v>
      </c>
      <c r="E142" s="381">
        <v>1</v>
      </c>
      <c r="F142" s="382">
        <v>5500</v>
      </c>
      <c r="G142" s="305">
        <f t="shared" ref="G142:G146" si="44">ROUND(E142*F142,2)</f>
        <v>5500</v>
      </c>
      <c r="H142" s="378"/>
      <c r="I142" s="151">
        <f t="shared" ref="I142:I146" si="45">ROUND(J142/$G142,4)</f>
        <v>0</v>
      </c>
      <c r="J142" s="447"/>
      <c r="K142" s="378"/>
      <c r="L142" s="152">
        <v>1</v>
      </c>
      <c r="M142" s="152">
        <v>0</v>
      </c>
      <c r="N142" s="118"/>
      <c r="O142" s="118"/>
    </row>
    <row r="143" spans="2:15" s="104" customFormat="1" ht="15" customHeight="1" x14ac:dyDescent="0.25">
      <c r="B143" s="443" t="s">
        <v>543</v>
      </c>
      <c r="C143" s="388" t="s">
        <v>544</v>
      </c>
      <c r="D143" s="380" t="s">
        <v>5</v>
      </c>
      <c r="E143" s="381">
        <v>1</v>
      </c>
      <c r="F143" s="382">
        <v>4706.1000000000004</v>
      </c>
      <c r="G143" s="305">
        <f t="shared" si="44"/>
        <v>4706.1000000000004</v>
      </c>
      <c r="H143" s="378"/>
      <c r="I143" s="151">
        <f t="shared" si="45"/>
        <v>0</v>
      </c>
      <c r="J143" s="447"/>
      <c r="K143" s="378"/>
      <c r="L143" s="152">
        <v>1</v>
      </c>
      <c r="M143" s="152">
        <v>0</v>
      </c>
      <c r="N143" s="118"/>
      <c r="O143" s="118"/>
    </row>
    <row r="144" spans="2:15" s="104" customFormat="1" ht="15" customHeight="1" x14ac:dyDescent="0.25">
      <c r="B144" s="443" t="s">
        <v>545</v>
      </c>
      <c r="C144" s="388" t="s">
        <v>546</v>
      </c>
      <c r="D144" s="380" t="s">
        <v>5</v>
      </c>
      <c r="E144" s="381">
        <v>1</v>
      </c>
      <c r="F144" s="382">
        <v>1534.46</v>
      </c>
      <c r="G144" s="305">
        <f t="shared" si="44"/>
        <v>1534.46</v>
      </c>
      <c r="H144" s="378"/>
      <c r="I144" s="151">
        <f t="shared" si="45"/>
        <v>0</v>
      </c>
      <c r="J144" s="447"/>
      <c r="K144" s="378"/>
      <c r="L144" s="152">
        <v>1</v>
      </c>
      <c r="M144" s="152">
        <v>0</v>
      </c>
      <c r="N144" s="118"/>
      <c r="O144" s="118"/>
    </row>
    <row r="145" spans="2:15" s="104" customFormat="1" ht="15" customHeight="1" x14ac:dyDescent="0.25">
      <c r="B145" s="443" t="s">
        <v>547</v>
      </c>
      <c r="C145" s="388" t="s">
        <v>548</v>
      </c>
      <c r="D145" s="380" t="s">
        <v>5</v>
      </c>
      <c r="E145" s="381">
        <v>1</v>
      </c>
      <c r="F145" s="382">
        <v>2800</v>
      </c>
      <c r="G145" s="305">
        <f t="shared" si="44"/>
        <v>2800</v>
      </c>
      <c r="H145" s="378"/>
      <c r="I145" s="151">
        <f t="shared" si="45"/>
        <v>0</v>
      </c>
      <c r="J145" s="447"/>
      <c r="K145" s="378"/>
      <c r="L145" s="152">
        <v>0.3</v>
      </c>
      <c r="M145" s="152">
        <v>840</v>
      </c>
      <c r="N145" s="118"/>
      <c r="O145" s="118"/>
    </row>
    <row r="146" spans="2:15" s="104" customFormat="1" ht="15" customHeight="1" x14ac:dyDescent="0.25">
      <c r="B146" s="443" t="s">
        <v>549</v>
      </c>
      <c r="C146" s="389" t="s">
        <v>550</v>
      </c>
      <c r="D146" s="380" t="s">
        <v>5</v>
      </c>
      <c r="E146" s="381">
        <v>1</v>
      </c>
      <c r="F146" s="382">
        <v>3800</v>
      </c>
      <c r="G146" s="305">
        <f t="shared" si="44"/>
        <v>3800</v>
      </c>
      <c r="H146" s="378"/>
      <c r="I146" s="151">
        <f t="shared" si="45"/>
        <v>0</v>
      </c>
      <c r="J146" s="447"/>
      <c r="K146" s="378"/>
      <c r="L146" s="152">
        <v>1</v>
      </c>
      <c r="M146" s="152">
        <v>0</v>
      </c>
      <c r="N146" s="118"/>
      <c r="O146" s="118"/>
    </row>
    <row r="147" spans="2:15" s="104" customFormat="1" ht="15" customHeight="1" x14ac:dyDescent="0.25">
      <c r="B147" s="441" t="s">
        <v>551</v>
      </c>
      <c r="C147" s="386" t="s">
        <v>552</v>
      </c>
      <c r="D147" s="393"/>
      <c r="E147" s="394"/>
      <c r="F147" s="395"/>
      <c r="G147" s="306"/>
      <c r="H147" s="378"/>
      <c r="I147" s="451"/>
      <c r="J147" s="447"/>
      <c r="K147" s="378"/>
      <c r="L147" s="152"/>
      <c r="M147" s="152"/>
      <c r="N147" s="118"/>
      <c r="O147" s="118"/>
    </row>
    <row r="148" spans="2:15" s="104" customFormat="1" ht="15" customHeight="1" x14ac:dyDescent="0.25">
      <c r="B148" s="443" t="s">
        <v>553</v>
      </c>
      <c r="C148" s="388" t="s">
        <v>554</v>
      </c>
      <c r="D148" s="380" t="s">
        <v>5</v>
      </c>
      <c r="E148" s="381">
        <v>1</v>
      </c>
      <c r="F148" s="382">
        <f>2500+3523</f>
        <v>6023</v>
      </c>
      <c r="G148" s="305">
        <f>ROUND(E148*F148,2)</f>
        <v>6023</v>
      </c>
      <c r="H148" s="378"/>
      <c r="I148" s="151">
        <f>ROUND(J148/$G148,4)</f>
        <v>0.51670000000000005</v>
      </c>
      <c r="J148" s="447">
        <v>3111.8833333333337</v>
      </c>
      <c r="K148" s="378"/>
      <c r="L148" s="152">
        <v>1</v>
      </c>
      <c r="M148" s="152">
        <v>0</v>
      </c>
      <c r="N148" s="118"/>
      <c r="O148" s="118"/>
    </row>
    <row r="149" spans="2:15" s="104" customFormat="1" ht="15" customHeight="1" x14ac:dyDescent="0.25">
      <c r="B149" s="441" t="s">
        <v>555</v>
      </c>
      <c r="C149" s="404" t="s">
        <v>556</v>
      </c>
      <c r="D149" s="393"/>
      <c r="E149" s="394"/>
      <c r="F149" s="395"/>
      <c r="G149" s="306"/>
      <c r="H149" s="378"/>
      <c r="I149" s="451"/>
      <c r="J149" s="447"/>
      <c r="K149" s="378"/>
      <c r="L149" s="152"/>
      <c r="M149" s="152"/>
      <c r="N149" s="118"/>
      <c r="O149" s="118"/>
    </row>
    <row r="150" spans="2:15" s="104" customFormat="1" ht="15" customHeight="1" x14ac:dyDescent="0.25">
      <c r="B150" s="443" t="s">
        <v>557</v>
      </c>
      <c r="C150" s="388" t="s">
        <v>558</v>
      </c>
      <c r="D150" s="380" t="s">
        <v>5</v>
      </c>
      <c r="E150" s="381">
        <v>1</v>
      </c>
      <c r="F150" s="382">
        <v>5620</v>
      </c>
      <c r="G150" s="305">
        <f t="shared" ref="G150:G155" si="46">ROUND(E150*F150,2)</f>
        <v>5620</v>
      </c>
      <c r="H150" s="378"/>
      <c r="I150" s="151">
        <f t="shared" ref="I150:I155" si="47">ROUND(J150/$G150,4)</f>
        <v>0</v>
      </c>
      <c r="J150" s="447"/>
      <c r="K150" s="378"/>
      <c r="L150" s="152">
        <v>1</v>
      </c>
      <c r="M150" s="152">
        <v>0</v>
      </c>
      <c r="N150" s="118"/>
      <c r="O150" s="118"/>
    </row>
    <row r="151" spans="2:15" s="104" customFormat="1" ht="15" customHeight="1" x14ac:dyDescent="0.25">
      <c r="B151" s="443" t="s">
        <v>559</v>
      </c>
      <c r="C151" s="408" t="s">
        <v>560</v>
      </c>
      <c r="D151" s="380" t="s">
        <v>5</v>
      </c>
      <c r="E151" s="381">
        <v>1</v>
      </c>
      <c r="F151" s="382">
        <v>3420</v>
      </c>
      <c r="G151" s="305">
        <f t="shared" si="46"/>
        <v>3420</v>
      </c>
      <c r="H151" s="378"/>
      <c r="I151" s="151">
        <f t="shared" si="47"/>
        <v>0</v>
      </c>
      <c r="J151" s="447"/>
      <c r="K151" s="378"/>
      <c r="L151" s="152">
        <v>1</v>
      </c>
      <c r="M151" s="152">
        <v>0</v>
      </c>
      <c r="N151" s="118"/>
      <c r="O151" s="118"/>
    </row>
    <row r="152" spans="2:15" s="104" customFormat="1" ht="15" customHeight="1" x14ac:dyDescent="0.25">
      <c r="B152" s="443" t="s">
        <v>561</v>
      </c>
      <c r="C152" s="388" t="s">
        <v>562</v>
      </c>
      <c r="D152" s="380" t="s">
        <v>563</v>
      </c>
      <c r="E152" s="381">
        <v>1</v>
      </c>
      <c r="F152" s="382">
        <v>3600</v>
      </c>
      <c r="G152" s="305">
        <f t="shared" si="46"/>
        <v>3600</v>
      </c>
      <c r="H152" s="378"/>
      <c r="I152" s="151">
        <f t="shared" si="47"/>
        <v>0</v>
      </c>
      <c r="J152" s="447"/>
      <c r="K152" s="378"/>
      <c r="L152" s="152">
        <v>0.3</v>
      </c>
      <c r="M152" s="152">
        <v>2520</v>
      </c>
      <c r="N152" s="118"/>
      <c r="O152" s="118"/>
    </row>
    <row r="153" spans="2:15" s="104" customFormat="1" ht="15" customHeight="1" x14ac:dyDescent="0.25">
      <c r="B153" s="443" t="s">
        <v>564</v>
      </c>
      <c r="C153" s="388" t="s">
        <v>565</v>
      </c>
      <c r="D153" s="380" t="s">
        <v>563</v>
      </c>
      <c r="E153" s="381">
        <v>1</v>
      </c>
      <c r="F153" s="382">
        <v>1550</v>
      </c>
      <c r="G153" s="305">
        <f t="shared" si="46"/>
        <v>1550</v>
      </c>
      <c r="H153" s="378"/>
      <c r="I153" s="151">
        <f t="shared" si="47"/>
        <v>0</v>
      </c>
      <c r="J153" s="447"/>
      <c r="K153" s="378"/>
      <c r="L153" s="152">
        <v>0.3</v>
      </c>
      <c r="M153" s="152">
        <v>1085</v>
      </c>
      <c r="N153" s="118"/>
      <c r="O153" s="118"/>
    </row>
    <row r="154" spans="2:15" s="104" customFormat="1" ht="15" customHeight="1" x14ac:dyDescent="0.25">
      <c r="B154" s="443" t="s">
        <v>566</v>
      </c>
      <c r="C154" s="388" t="s">
        <v>567</v>
      </c>
      <c r="D154" s="380" t="s">
        <v>101</v>
      </c>
      <c r="E154" s="381">
        <v>1932.21</v>
      </c>
      <c r="F154" s="382">
        <v>1.2</v>
      </c>
      <c r="G154" s="305">
        <f t="shared" si="46"/>
        <v>2318.65</v>
      </c>
      <c r="H154" s="378"/>
      <c r="I154" s="151">
        <f t="shared" si="47"/>
        <v>0.64490000000000003</v>
      </c>
      <c r="J154" s="447">
        <v>1495.24</v>
      </c>
      <c r="K154" s="378"/>
      <c r="L154" s="152">
        <v>1932.21</v>
      </c>
      <c r="M154" s="152">
        <v>0</v>
      </c>
      <c r="N154" s="118"/>
      <c r="O154" s="118"/>
    </row>
    <row r="155" spans="2:15" s="104" customFormat="1" ht="15" customHeight="1" x14ac:dyDescent="0.25">
      <c r="B155" s="445" t="s">
        <v>568</v>
      </c>
      <c r="C155" s="409" t="s">
        <v>569</v>
      </c>
      <c r="D155" s="410" t="s">
        <v>101</v>
      </c>
      <c r="E155" s="411">
        <v>1932.21</v>
      </c>
      <c r="F155" s="412">
        <v>1.1200000000000001</v>
      </c>
      <c r="G155" s="308">
        <f t="shared" si="46"/>
        <v>2164.08</v>
      </c>
      <c r="H155" s="378"/>
      <c r="I155" s="455">
        <f t="shared" si="47"/>
        <v>0</v>
      </c>
      <c r="J155" s="449"/>
      <c r="K155" s="378"/>
      <c r="L155" s="325"/>
      <c r="M155" s="152">
        <v>0</v>
      </c>
      <c r="N155" s="118"/>
      <c r="O155" s="118"/>
    </row>
    <row r="156" spans="2:15" s="104" customFormat="1" ht="15" customHeight="1" x14ac:dyDescent="0.25">
      <c r="B156" s="236" t="s">
        <v>4</v>
      </c>
      <c r="C156" s="236"/>
      <c r="D156" s="313"/>
      <c r="E156" s="314"/>
      <c r="F156" s="228"/>
      <c r="G156" s="315">
        <f>ROUND(SUM(G12:G155),2)</f>
        <v>462717.27</v>
      </c>
      <c r="H156" s="378"/>
      <c r="I156" s="518">
        <f>+J162</f>
        <v>0.31840000000000002</v>
      </c>
      <c r="J156" s="315">
        <f>ROUND(SUM(J12:J155),2)</f>
        <v>147324.87</v>
      </c>
      <c r="K156" s="378"/>
      <c r="L156" s="518">
        <f>+M162</f>
        <v>0.35099999999999998</v>
      </c>
      <c r="M156" s="315">
        <f>ROUND(SUM(M12:M155),2)</f>
        <v>162392.10999999999</v>
      </c>
      <c r="N156" s="118"/>
      <c r="O156" s="118"/>
    </row>
    <row r="157" spans="2:15" s="104" customFormat="1" ht="15" customHeight="1" x14ac:dyDescent="0.25">
      <c r="B157" s="103" t="s">
        <v>98</v>
      </c>
      <c r="C157" s="103"/>
      <c r="D157" s="317">
        <v>0.1</v>
      </c>
      <c r="E157" s="132"/>
      <c r="F157" s="128"/>
      <c r="G157" s="318">
        <f>ROUND($D157*G$156,2)</f>
        <v>46271.73</v>
      </c>
      <c r="H157" s="378"/>
      <c r="I157" s="518"/>
      <c r="J157" s="318">
        <f>ROUND($D157*J$156,2)</f>
        <v>14732.49</v>
      </c>
      <c r="K157" s="378"/>
      <c r="L157" s="518"/>
      <c r="M157" s="318">
        <f>ROUND($D157*M$156,2)</f>
        <v>16239.21</v>
      </c>
      <c r="N157" s="118"/>
      <c r="O157" s="118"/>
    </row>
    <row r="158" spans="2:15" s="104" customFormat="1" ht="15" customHeight="1" x14ac:dyDescent="0.25">
      <c r="B158" s="103" t="s">
        <v>99</v>
      </c>
      <c r="C158" s="103"/>
      <c r="D158" s="320">
        <v>7.0000000000000007E-2</v>
      </c>
      <c r="E158" s="132"/>
      <c r="F158" s="128"/>
      <c r="G158" s="318">
        <f>ROUND($D158*G$156,2)</f>
        <v>32390.21</v>
      </c>
      <c r="H158" s="378"/>
      <c r="I158" s="518"/>
      <c r="J158" s="318">
        <f>ROUND($D158*J$156,2)</f>
        <v>10312.74</v>
      </c>
      <c r="K158" s="378"/>
      <c r="L158" s="518"/>
      <c r="M158" s="318">
        <f>ROUND($D158*M$156,2)</f>
        <v>11367.45</v>
      </c>
      <c r="N158" s="118"/>
      <c r="O158" s="118"/>
    </row>
    <row r="159" spans="2:15" s="104" customFormat="1" ht="15" customHeight="1" x14ac:dyDescent="0.25">
      <c r="B159" s="236" t="s">
        <v>33</v>
      </c>
      <c r="C159" s="236"/>
      <c r="D159" s="154"/>
      <c r="E159" s="314"/>
      <c r="F159" s="228"/>
      <c r="G159" s="321">
        <f>ROUND(G156+G157+G158,2)</f>
        <v>541379.21</v>
      </c>
      <c r="H159" s="378"/>
      <c r="I159" s="518"/>
      <c r="J159" s="321">
        <f>ROUND(J156+J157+J158,2)</f>
        <v>172370.1</v>
      </c>
      <c r="K159" s="378"/>
      <c r="L159" s="518"/>
      <c r="M159" s="321">
        <f>ROUND(M156+M157+M158,2)</f>
        <v>189998.77</v>
      </c>
      <c r="N159" s="118"/>
      <c r="O159" s="118"/>
    </row>
    <row r="160" spans="2:15" s="104" customFormat="1" ht="15" customHeight="1" x14ac:dyDescent="0.25">
      <c r="B160" s="103" t="s">
        <v>95</v>
      </c>
      <c r="C160" s="103"/>
      <c r="D160" s="317">
        <v>0.18</v>
      </c>
      <c r="E160" s="132"/>
      <c r="F160" s="128"/>
      <c r="G160" s="318">
        <f>ROUND($D160*G$159,2)</f>
        <v>97448.26</v>
      </c>
      <c r="H160" s="378"/>
      <c r="I160" s="518"/>
      <c r="J160" s="318">
        <f>ROUND($D160*J$159,2)</f>
        <v>31026.62</v>
      </c>
      <c r="K160" s="378"/>
      <c r="L160" s="518"/>
      <c r="M160" s="318">
        <f>ROUND($D160*M$159,2)</f>
        <v>34199.78</v>
      </c>
      <c r="N160" s="118"/>
      <c r="O160" s="118"/>
    </row>
    <row r="161" spans="2:15" s="104" customFormat="1" ht="15" customHeight="1" x14ac:dyDescent="0.25">
      <c r="B161" s="236" t="s">
        <v>205</v>
      </c>
      <c r="C161" s="236"/>
      <c r="D161" s="313"/>
      <c r="E161" s="314"/>
      <c r="F161" s="228"/>
      <c r="G161" s="321">
        <f>ROUND(G159+G160,2)</f>
        <v>638827.47</v>
      </c>
      <c r="H161" s="378"/>
      <c r="I161" s="518"/>
      <c r="J161" s="321">
        <f>ROUND(J159+J160,2)</f>
        <v>203396.72</v>
      </c>
      <c r="K161" s="378"/>
      <c r="L161" s="518"/>
      <c r="M161" s="321">
        <f>ROUND(M159+M160,2)</f>
        <v>224198.55</v>
      </c>
      <c r="N161" s="118"/>
      <c r="O161" s="118"/>
    </row>
    <row r="162" spans="2:15" s="104" customFormat="1" ht="15" customHeight="1" x14ac:dyDescent="0.25">
      <c r="B162" s="103" t="s">
        <v>206</v>
      </c>
      <c r="C162" s="103"/>
      <c r="D162" s="122"/>
      <c r="E162" s="132"/>
      <c r="F162" s="128"/>
      <c r="G162" s="323">
        <f>ROUND(G156/$G156,4)</f>
        <v>1</v>
      </c>
      <c r="H162" s="378"/>
      <c r="I162" s="518"/>
      <c r="J162" s="323">
        <f>ROUND(J156/$G156,4)</f>
        <v>0.31840000000000002</v>
      </c>
      <c r="K162" s="378"/>
      <c r="L162" s="518"/>
      <c r="M162" s="323">
        <f>ROUND(M156/$G156,4)</f>
        <v>0.35099999999999998</v>
      </c>
      <c r="N162" s="118"/>
      <c r="O162" s="118"/>
    </row>
    <row r="163" spans="2:15" s="105" customFormat="1" ht="15" customHeight="1" x14ac:dyDescent="0.25">
      <c r="B163" s="103"/>
      <c r="C163" s="103"/>
      <c r="D163" s="122"/>
      <c r="E163" s="123"/>
      <c r="F163" s="103"/>
      <c r="G163" s="124"/>
      <c r="H163" s="124"/>
      <c r="I163" s="124"/>
      <c r="J163" s="125"/>
      <c r="K163" s="124"/>
      <c r="L163" s="125"/>
      <c r="M163" s="125"/>
      <c r="N163" s="118"/>
    </row>
    <row r="164" spans="2:15" ht="15" customHeight="1" x14ac:dyDescent="0.25">
      <c r="N164" s="118"/>
    </row>
    <row r="166" spans="2:15" s="105" customFormat="1" ht="15" customHeight="1" x14ac:dyDescent="0.25">
      <c r="B166" s="103"/>
      <c r="C166" s="103"/>
      <c r="D166" s="122"/>
      <c r="E166" s="123"/>
      <c r="F166" s="103"/>
      <c r="G166" s="119"/>
      <c r="H166" s="119"/>
      <c r="I166" s="119"/>
      <c r="J166" s="127"/>
      <c r="K166" s="119"/>
      <c r="L166" s="127"/>
      <c r="M166" s="127"/>
      <c r="N166" s="104"/>
    </row>
    <row r="167" spans="2:15" s="105" customFormat="1" ht="15" customHeight="1" x14ac:dyDescent="0.25">
      <c r="B167" s="103"/>
      <c r="C167" s="103"/>
      <c r="D167" s="122"/>
      <c r="E167" s="123"/>
      <c r="F167" s="103"/>
      <c r="G167" s="119"/>
      <c r="H167" s="119"/>
      <c r="I167" s="119"/>
      <c r="J167" s="103"/>
      <c r="K167" s="119"/>
      <c r="L167" s="103"/>
      <c r="M167" s="103"/>
      <c r="N167" s="104"/>
    </row>
    <row r="168" spans="2:15" s="105" customFormat="1" ht="15" customHeight="1" x14ac:dyDescent="0.25">
      <c r="B168" s="103"/>
      <c r="C168" s="103"/>
      <c r="D168" s="122"/>
      <c r="E168" s="123"/>
      <c r="F168" s="103"/>
      <c r="G168" s="119"/>
      <c r="H168" s="119"/>
      <c r="I168" s="119"/>
      <c r="J168" s="103"/>
      <c r="K168" s="119"/>
      <c r="L168" s="103"/>
      <c r="M168" s="103"/>
      <c r="N168" s="104"/>
    </row>
    <row r="169" spans="2:15" s="105" customFormat="1" ht="15" customHeight="1" x14ac:dyDescent="0.25">
      <c r="B169" s="103"/>
      <c r="C169" s="103"/>
      <c r="D169" s="122"/>
      <c r="E169" s="123"/>
      <c r="F169" s="103"/>
      <c r="G169" s="119"/>
      <c r="H169" s="119"/>
      <c r="I169" s="119"/>
      <c r="J169" s="103"/>
      <c r="K169" s="119"/>
      <c r="L169" s="103"/>
      <c r="M169" s="103"/>
      <c r="N169" s="104"/>
    </row>
  </sheetData>
  <mergeCells count="9">
    <mergeCell ref="I156:I162"/>
    <mergeCell ref="L156:L162"/>
    <mergeCell ref="B1:M1"/>
    <mergeCell ref="C2:M2"/>
    <mergeCell ref="B9:B11"/>
    <mergeCell ref="C9:C11"/>
    <mergeCell ref="D9:G10"/>
    <mergeCell ref="I9:J9"/>
    <mergeCell ref="L9:M9"/>
  </mergeCells>
  <printOptions horizontalCentered="1"/>
  <pageMargins left="0.59055118110236227" right="0.59055118110236227" top="0.78740157480314965" bottom="0.59055118110236227" header="0" footer="0"/>
  <pageSetup paperSize="9" scale="67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5AD5-7B54-4F75-9B28-742160F3A912}">
  <sheetPr>
    <tabColor rgb="FF00B050"/>
    <pageSetUpPr fitToPage="1"/>
  </sheetPr>
  <dimension ref="B1:V16"/>
  <sheetViews>
    <sheetView view="pageBreakPreview" zoomScale="90" zoomScaleNormal="100" zoomScaleSheetLayoutView="90" workbookViewId="0">
      <selection activeCell="I18" sqref="I18"/>
    </sheetView>
  </sheetViews>
  <sheetFormatPr baseColWidth="10" defaultColWidth="11.44140625" defaultRowHeight="15" customHeight="1" x14ac:dyDescent="0.25"/>
  <cols>
    <col min="1" max="1" width="1.6640625" style="157" customWidth="1"/>
    <col min="2" max="2" width="12.6640625" style="157" customWidth="1"/>
    <col min="3" max="3" width="9.6640625" style="157" customWidth="1"/>
    <col min="4" max="5" width="14.6640625" style="157" customWidth="1"/>
    <col min="6" max="7" width="11.6640625" style="157" customWidth="1"/>
    <col min="8" max="9" width="14.6640625" style="157" customWidth="1"/>
    <col min="10" max="11" width="12.6640625" style="157" customWidth="1"/>
    <col min="12" max="14" width="13.6640625" style="157" customWidth="1"/>
    <col min="15" max="15" width="15.6640625" style="157" customWidth="1"/>
    <col min="16" max="16" width="12.6640625" style="157" customWidth="1"/>
    <col min="17" max="17" width="1.6640625" style="157" customWidth="1"/>
    <col min="18" max="18" width="12.109375" style="157" bestFit="1" customWidth="1"/>
    <col min="19" max="16384" width="11.44140625" style="157"/>
  </cols>
  <sheetData>
    <row r="1" spans="2:22" s="105" customFormat="1" ht="30" customHeight="1" thickBot="1" x14ac:dyDescent="0.3">
      <c r="B1" s="714" t="s">
        <v>176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6"/>
      <c r="Q1" s="153"/>
      <c r="R1" s="141"/>
      <c r="S1" s="141"/>
      <c r="T1" s="103"/>
      <c r="U1" s="154"/>
      <c r="V1" s="103"/>
    </row>
    <row r="2" spans="2:22" s="105" customFormat="1" ht="1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106"/>
      <c r="R2" s="106"/>
      <c r="S2" s="106"/>
      <c r="T2" s="103"/>
      <c r="U2" s="154"/>
      <c r="V2" s="103"/>
    </row>
    <row r="3" spans="2:22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  <c r="F3" s="106"/>
      <c r="G3" s="106"/>
      <c r="H3" s="106"/>
      <c r="I3" s="106"/>
      <c r="J3" s="106"/>
      <c r="K3" s="103"/>
      <c r="L3" s="106"/>
      <c r="M3" s="106"/>
      <c r="N3" s="106"/>
      <c r="O3" s="106"/>
      <c r="P3" s="106"/>
      <c r="Q3" s="106"/>
      <c r="R3" s="106"/>
      <c r="S3" s="106"/>
      <c r="T3" s="103"/>
      <c r="U3" s="154"/>
      <c r="V3" s="103"/>
    </row>
    <row r="4" spans="2:22" s="10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06"/>
      <c r="H4" s="106"/>
      <c r="I4" s="106"/>
      <c r="J4" s="106"/>
      <c r="K4" s="103"/>
      <c r="L4" s="106"/>
      <c r="M4" s="106"/>
      <c r="N4" s="106"/>
      <c r="O4" s="106"/>
      <c r="P4" s="106"/>
      <c r="Q4" s="106"/>
      <c r="R4" s="106"/>
      <c r="S4" s="106"/>
      <c r="T4" s="103"/>
      <c r="U4" s="154"/>
      <c r="V4" s="103"/>
    </row>
    <row r="5" spans="2:22" s="10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  <c r="F5" s="106"/>
      <c r="G5" s="104" t="s">
        <v>212</v>
      </c>
      <c r="H5" s="103"/>
      <c r="I5" s="251">
        <f>+FT!$E$24</f>
        <v>638827.47</v>
      </c>
      <c r="J5" s="106"/>
      <c r="K5" s="103"/>
      <c r="L5" s="106"/>
      <c r="M5" s="106"/>
      <c r="N5" s="106"/>
      <c r="O5" s="106"/>
      <c r="P5" s="106"/>
      <c r="Q5" s="106"/>
      <c r="R5" s="106"/>
      <c r="S5" s="106"/>
      <c r="T5" s="103"/>
      <c r="U5" s="154"/>
      <c r="V5" s="103"/>
    </row>
    <row r="6" spans="2:22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6"/>
      <c r="F6" s="106"/>
      <c r="G6" s="104" t="s">
        <v>215</v>
      </c>
      <c r="H6" s="103"/>
      <c r="I6" s="251">
        <f>+FT!$E$25</f>
        <v>638827.47</v>
      </c>
      <c r="K6" s="103"/>
      <c r="L6" s="106"/>
      <c r="M6" s="106"/>
      <c r="N6" s="106"/>
      <c r="O6" s="106"/>
      <c r="P6" s="106"/>
      <c r="Q6" s="106"/>
      <c r="R6" s="106"/>
      <c r="S6" s="106"/>
      <c r="T6" s="103"/>
      <c r="U6" s="154"/>
      <c r="V6" s="103"/>
    </row>
    <row r="7" spans="2:22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6"/>
      <c r="E7" s="106"/>
      <c r="F7" s="106"/>
      <c r="G7" s="103" t="s">
        <v>214</v>
      </c>
      <c r="H7" s="103"/>
      <c r="I7" s="103" t="str">
        <f>+FT!$E$31</f>
        <v>SESENTA (60) DÍAS CALENDARIOS</v>
      </c>
      <c r="K7" s="103"/>
      <c r="L7" s="106"/>
      <c r="M7" s="106"/>
      <c r="N7" s="106"/>
      <c r="O7" s="106"/>
      <c r="P7" s="106"/>
      <c r="Q7" s="106"/>
      <c r="R7" s="106"/>
      <c r="S7" s="106"/>
      <c r="T7" s="103"/>
      <c r="U7" s="154"/>
      <c r="V7" s="103"/>
    </row>
    <row r="8" spans="2:22" ht="6.9" customHeight="1" thickBot="1" x14ac:dyDescent="0.3"/>
    <row r="9" spans="2:22" s="738" customFormat="1" ht="30" customHeight="1" x14ac:dyDescent="0.25">
      <c r="B9" s="726" t="s">
        <v>127</v>
      </c>
      <c r="C9" s="727"/>
      <c r="D9" s="728" t="s">
        <v>96</v>
      </c>
      <c r="E9" s="729"/>
      <c r="F9" s="729"/>
      <c r="G9" s="730"/>
      <c r="H9" s="731" t="s">
        <v>18</v>
      </c>
      <c r="I9" s="732"/>
      <c r="J9" s="732"/>
      <c r="K9" s="733"/>
      <c r="L9" s="734" t="s">
        <v>177</v>
      </c>
      <c r="M9" s="735"/>
      <c r="N9" s="735"/>
      <c r="O9" s="736"/>
      <c r="P9" s="737" t="s">
        <v>178</v>
      </c>
    </row>
    <row r="10" spans="2:22" s="738" customFormat="1" ht="45" customHeight="1" thickBot="1" x14ac:dyDescent="0.3">
      <c r="B10" s="739" t="s">
        <v>132</v>
      </c>
      <c r="C10" s="740" t="s">
        <v>58</v>
      </c>
      <c r="D10" s="741" t="s">
        <v>111</v>
      </c>
      <c r="E10" s="742" t="s">
        <v>103</v>
      </c>
      <c r="F10" s="743" t="s">
        <v>179</v>
      </c>
      <c r="G10" s="744" t="s">
        <v>131</v>
      </c>
      <c r="H10" s="745" t="s">
        <v>111</v>
      </c>
      <c r="I10" s="746" t="s">
        <v>103</v>
      </c>
      <c r="J10" s="747" t="s">
        <v>179</v>
      </c>
      <c r="K10" s="748" t="s">
        <v>131</v>
      </c>
      <c r="L10" s="749" t="s">
        <v>180</v>
      </c>
      <c r="M10" s="750" t="s">
        <v>181</v>
      </c>
      <c r="N10" s="750" t="s">
        <v>182</v>
      </c>
      <c r="O10" s="751" t="s">
        <v>183</v>
      </c>
      <c r="P10" s="752"/>
      <c r="T10" s="753">
        <v>131453.71</v>
      </c>
    </row>
    <row r="11" spans="2:22" ht="15" customHeight="1" x14ac:dyDescent="0.25">
      <c r="B11" s="256">
        <v>1</v>
      </c>
      <c r="C11" s="257">
        <f>+'CALEN. PROG.'!I9</f>
        <v>46174</v>
      </c>
      <c r="D11" s="258">
        <f>+'CALEN. PROG.'!J161</f>
        <v>157550.32</v>
      </c>
      <c r="E11" s="258">
        <f>D11</f>
        <v>157550.32</v>
      </c>
      <c r="F11" s="259">
        <f>ROUND(D11/$D$14,4)</f>
        <v>0.24660000000000001</v>
      </c>
      <c r="G11" s="259">
        <f>+F11</f>
        <v>0.24660000000000001</v>
      </c>
      <c r="H11" s="258">
        <f>+'CALEN. VALO.'!J161</f>
        <v>400648.29</v>
      </c>
      <c r="I11" s="258">
        <f>+H11</f>
        <v>400648.29</v>
      </c>
      <c r="J11" s="259">
        <f>ROUND(H11/$D$14,4)</f>
        <v>0.62719999999999998</v>
      </c>
      <c r="K11" s="259">
        <f>+J11</f>
        <v>0.62719999999999998</v>
      </c>
      <c r="L11" s="260">
        <f>+G11</f>
        <v>0.24660000000000001</v>
      </c>
      <c r="M11" s="260">
        <f>ROUND(L11*0.8,4)</f>
        <v>0.1973</v>
      </c>
      <c r="N11" s="260">
        <f>+K11</f>
        <v>0.62719999999999998</v>
      </c>
      <c r="O11" s="261">
        <f>+N11-L11</f>
        <v>0.38059999999999994</v>
      </c>
      <c r="P11" s="262" t="str">
        <f>+IF(K11&lt;G11,"ATRASADA",IF(K11=100%,"CULMINADA","ADELANTADA"))</f>
        <v>ADELANTADA</v>
      </c>
      <c r="T11" s="300">
        <v>122142.92</v>
      </c>
    </row>
    <row r="12" spans="2:22" ht="15" customHeight="1" x14ac:dyDescent="0.25">
      <c r="B12" s="717">
        <v>2</v>
      </c>
      <c r="C12" s="718">
        <f>+'CALEN. PROG.'!L9</f>
        <v>46204</v>
      </c>
      <c r="D12" s="719">
        <f>+'CALEN. PROG.'!M161</f>
        <v>203396.72</v>
      </c>
      <c r="E12" s="719">
        <f>+D12+E11</f>
        <v>360947.04000000004</v>
      </c>
      <c r="F12" s="720">
        <f>ROUND(D12/$D$14,4)</f>
        <v>0.31840000000000002</v>
      </c>
      <c r="G12" s="721">
        <f>+F12+G11</f>
        <v>0.56500000000000006</v>
      </c>
      <c r="H12" s="722">
        <f>+'CALEN. VALO.'!M161</f>
        <v>224198.55</v>
      </c>
      <c r="I12" s="719">
        <f>+H12+I11</f>
        <v>624846.84</v>
      </c>
      <c r="J12" s="720">
        <f>ROUND(H12/$D$14,4)</f>
        <v>0.35099999999999998</v>
      </c>
      <c r="K12" s="721">
        <f>+J12+K11</f>
        <v>0.97819999999999996</v>
      </c>
      <c r="L12" s="723">
        <f>+G12</f>
        <v>0.56500000000000006</v>
      </c>
      <c r="M12" s="723">
        <f>ROUND(L12*0.8,4)</f>
        <v>0.45200000000000001</v>
      </c>
      <c r="N12" s="723">
        <f>+K12</f>
        <v>0.97819999999999996</v>
      </c>
      <c r="O12" s="724">
        <f>+N12-L12</f>
        <v>0.4131999999999999</v>
      </c>
      <c r="P12" s="725" t="str">
        <f>+IF(K12&lt;G12,"ATRASADA",IF(K12=100%,"CULMINADA","ADELANTADA"))</f>
        <v>ADELANTADA</v>
      </c>
      <c r="T12" s="300">
        <f>SUM(T10:T11)</f>
        <v>253596.63</v>
      </c>
    </row>
    <row r="13" spans="2:22" ht="15" customHeight="1" x14ac:dyDescent="0.25">
      <c r="B13" s="160">
        <v>3</v>
      </c>
      <c r="C13" s="161">
        <f>+'CALEN. PROG.'!O9</f>
        <v>46235</v>
      </c>
      <c r="D13" s="162">
        <f>+'CALEN. PROG.'!P161</f>
        <v>277880.43</v>
      </c>
      <c r="E13" s="162">
        <f>+D13+E12</f>
        <v>638827.47</v>
      </c>
      <c r="F13" s="259">
        <f>ROUND(D13/$D$14,4)</f>
        <v>0.435</v>
      </c>
      <c r="G13" s="163">
        <f>+F13+G12</f>
        <v>1</v>
      </c>
      <c r="H13" s="162"/>
      <c r="I13" s="162"/>
      <c r="J13" s="163"/>
      <c r="K13" s="163"/>
      <c r="L13" s="164"/>
      <c r="M13" s="164"/>
      <c r="N13" s="164"/>
      <c r="O13" s="165"/>
      <c r="P13" s="166"/>
    </row>
    <row r="14" spans="2:22" ht="30" customHeight="1" x14ac:dyDescent="0.25">
      <c r="B14" s="167" t="s">
        <v>184</v>
      </c>
      <c r="C14" s="168"/>
      <c r="D14" s="169">
        <f>SUM(D11:D13)</f>
        <v>638827.47</v>
      </c>
      <c r="E14" s="170"/>
      <c r="F14" s="171">
        <f>SUM(F11:F13)</f>
        <v>1</v>
      </c>
      <c r="G14" s="171"/>
      <c r="H14" s="169">
        <f>SUM(H11:H12)</f>
        <v>624846.84</v>
      </c>
      <c r="I14" s="170"/>
      <c r="J14" s="171">
        <f>SUM(J11:J12)</f>
        <v>0.97819999999999996</v>
      </c>
      <c r="K14" s="171"/>
      <c r="L14" s="171">
        <f>+L12</f>
        <v>0.56500000000000006</v>
      </c>
      <c r="M14" s="171">
        <f>+M12</f>
        <v>0.45200000000000001</v>
      </c>
      <c r="N14" s="171">
        <f>+N12</f>
        <v>0.97819999999999996</v>
      </c>
      <c r="O14" s="172">
        <f>+O12</f>
        <v>0.4131999999999999</v>
      </c>
      <c r="P14" s="173" t="s">
        <v>270</v>
      </c>
    </row>
    <row r="15" spans="2:22" ht="15" customHeight="1" x14ac:dyDescent="0.25">
      <c r="B15" s="174"/>
      <c r="C15" s="174"/>
      <c r="D15" s="175"/>
      <c r="E15" s="175"/>
      <c r="F15" s="175"/>
      <c r="G15" s="175"/>
      <c r="H15" s="175"/>
      <c r="I15" s="175"/>
      <c r="J15" s="174"/>
      <c r="K15" s="174"/>
      <c r="L15" s="174"/>
      <c r="M15" s="174"/>
      <c r="N15" s="174"/>
      <c r="O15" s="174"/>
      <c r="P15" s="174"/>
      <c r="Q15" s="175"/>
    </row>
    <row r="16" spans="2:22" ht="15" customHeight="1" x14ac:dyDescent="0.25">
      <c r="B16" s="174"/>
      <c r="C16" s="174"/>
      <c r="D16" s="175"/>
      <c r="E16" s="175"/>
      <c r="F16" s="175"/>
      <c r="N16" s="174"/>
      <c r="O16" s="174"/>
      <c r="P16" s="174"/>
      <c r="Q16" s="175"/>
    </row>
  </sheetData>
  <mergeCells count="7">
    <mergeCell ref="B1:P1"/>
    <mergeCell ref="P9:P10"/>
    <mergeCell ref="C2:P2"/>
    <mergeCell ref="B9:C9"/>
    <mergeCell ref="D9:G9"/>
    <mergeCell ref="H9:K9"/>
    <mergeCell ref="L9:O9"/>
  </mergeCells>
  <printOptions horizontalCentered="1"/>
  <pageMargins left="0.59055118110236227" right="0.59055118110236227" top="0.78740157480314965" bottom="0.59055118110236227" header="0.31496062992125984" footer="0.31496062992125984"/>
  <pageSetup paperSize="9" scale="6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30EA-68D4-4053-8804-1AC59385F76A}">
  <sheetPr>
    <tabColor rgb="FF00B050"/>
    <pageSetUpPr fitToPage="1"/>
  </sheetPr>
  <dimension ref="B1:N38"/>
  <sheetViews>
    <sheetView view="pageBreakPreview" topLeftCell="A14" zoomScale="90" zoomScaleNormal="100" zoomScaleSheetLayoutView="90" workbookViewId="0">
      <selection activeCell="N32" sqref="N32"/>
    </sheetView>
  </sheetViews>
  <sheetFormatPr baseColWidth="10" defaultColWidth="11.44140625" defaultRowHeight="15" customHeight="1" x14ac:dyDescent="0.25"/>
  <cols>
    <col min="1" max="1" width="1.6640625" style="157" customWidth="1"/>
    <col min="2" max="2" width="14.6640625" style="157" customWidth="1"/>
    <col min="3" max="11" width="15.6640625" style="157" customWidth="1"/>
    <col min="12" max="12" width="1.6640625" style="157" customWidth="1"/>
    <col min="13" max="16384" width="11.44140625" style="157"/>
  </cols>
  <sheetData>
    <row r="1" spans="2:14" s="105" customFormat="1" ht="30" customHeight="1" thickBot="1" x14ac:dyDescent="0.3">
      <c r="B1" s="714" t="s">
        <v>172</v>
      </c>
      <c r="C1" s="715"/>
      <c r="D1" s="715"/>
      <c r="E1" s="715"/>
      <c r="F1" s="715"/>
      <c r="G1" s="715"/>
      <c r="H1" s="715"/>
      <c r="I1" s="715"/>
      <c r="J1" s="715"/>
      <c r="K1" s="716"/>
    </row>
    <row r="2" spans="2:14" s="105" customFormat="1" ht="30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</row>
    <row r="3" spans="2:14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  <c r="F3" s="106"/>
      <c r="G3" s="106"/>
      <c r="H3" s="106"/>
      <c r="I3" s="106"/>
      <c r="J3" s="106"/>
      <c r="K3" s="103"/>
    </row>
    <row r="4" spans="2:14" s="10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06"/>
      <c r="H4" s="106"/>
      <c r="I4" s="106"/>
      <c r="J4" s="106"/>
      <c r="K4" s="103"/>
    </row>
    <row r="5" spans="2:14" s="10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  <c r="F5" s="104" t="s">
        <v>212</v>
      </c>
      <c r="G5" s="103"/>
      <c r="H5" s="251">
        <f>+FT!$E$24</f>
        <v>638827.47</v>
      </c>
      <c r="I5" s="106"/>
      <c r="J5" s="106"/>
      <c r="K5" s="103"/>
    </row>
    <row r="6" spans="2:14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F6" s="104" t="s">
        <v>215</v>
      </c>
      <c r="G6" s="103"/>
      <c r="H6" s="251">
        <f>+FT!$E$25</f>
        <v>638827.47</v>
      </c>
      <c r="I6" s="106"/>
      <c r="J6" s="106"/>
      <c r="K6" s="103"/>
    </row>
    <row r="7" spans="2:14" s="10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6"/>
      <c r="F7" s="103" t="s">
        <v>214</v>
      </c>
      <c r="G7" s="103"/>
      <c r="H7" s="103" t="str">
        <f>+FT!$E$31</f>
        <v>SESENTA (60) DÍAS CALENDARIOS</v>
      </c>
      <c r="I7" s="106"/>
      <c r="J7" s="106"/>
      <c r="K7" s="103"/>
    </row>
    <row r="10" spans="2:14" ht="15" customHeight="1" x14ac:dyDescent="0.3">
      <c r="C10" s="756"/>
      <c r="D10" s="756"/>
      <c r="E10" s="756"/>
      <c r="F10" s="756"/>
      <c r="G10" s="756"/>
      <c r="H10" s="756"/>
      <c r="I10" s="756"/>
      <c r="J10" s="756"/>
      <c r="K10" s="756"/>
      <c r="L10" s="756"/>
      <c r="M10" s="756"/>
      <c r="N10" s="756"/>
    </row>
    <row r="11" spans="2:14" ht="15" customHeight="1" x14ac:dyDescent="0.3">
      <c r="C11" s="756"/>
      <c r="D11" s="756"/>
      <c r="E11" s="756"/>
      <c r="F11" s="756"/>
      <c r="G11" s="756"/>
      <c r="H11" s="756"/>
      <c r="I11" s="756"/>
      <c r="J11" s="756"/>
      <c r="K11" s="756"/>
      <c r="L11" s="756"/>
      <c r="M11" s="756"/>
      <c r="N11" s="756"/>
    </row>
    <row r="12" spans="2:14" ht="15" customHeight="1" x14ac:dyDescent="0.3">
      <c r="C12" s="756"/>
      <c r="D12" s="756"/>
      <c r="E12" s="756"/>
      <c r="F12" s="756"/>
      <c r="G12" s="756"/>
      <c r="H12" s="756"/>
      <c r="I12" s="756"/>
      <c r="J12" s="756"/>
      <c r="K12" s="756"/>
      <c r="L12" s="756"/>
      <c r="M12" s="756"/>
      <c r="N12" s="756"/>
    </row>
    <row r="13" spans="2:14" ht="15" customHeight="1" x14ac:dyDescent="0.3">
      <c r="C13" s="756"/>
      <c r="D13" s="756"/>
      <c r="E13" s="756"/>
      <c r="F13" s="756"/>
      <c r="G13" s="756"/>
      <c r="H13" s="756"/>
      <c r="I13" s="756"/>
      <c r="J13" s="756"/>
      <c r="K13" s="756"/>
      <c r="L13" s="756"/>
      <c r="M13" s="756"/>
      <c r="N13" s="756"/>
    </row>
    <row r="14" spans="2:14" ht="15" customHeight="1" x14ac:dyDescent="0.3">
      <c r="C14" s="756"/>
      <c r="D14" s="756"/>
      <c r="E14" s="756"/>
      <c r="F14" s="756"/>
      <c r="G14" s="756"/>
      <c r="H14" s="756"/>
      <c r="I14" s="756"/>
      <c r="J14" s="756"/>
      <c r="K14" s="756"/>
      <c r="L14" s="756"/>
      <c r="M14" s="756"/>
      <c r="N14" s="756"/>
    </row>
    <row r="15" spans="2:14" ht="15" customHeight="1" x14ac:dyDescent="0.3">
      <c r="C15" s="756"/>
      <c r="D15" s="756"/>
      <c r="E15" s="756"/>
      <c r="F15" s="756"/>
      <c r="G15" s="756"/>
      <c r="H15" s="756"/>
      <c r="I15" s="756"/>
      <c r="J15" s="756"/>
      <c r="K15" s="756"/>
      <c r="L15" s="756"/>
      <c r="M15" s="756"/>
      <c r="N15" s="756"/>
    </row>
    <row r="16" spans="2:14" ht="15" customHeight="1" x14ac:dyDescent="0.3">
      <c r="C16" s="756"/>
      <c r="D16" s="756"/>
      <c r="E16" s="756"/>
      <c r="F16" s="756"/>
      <c r="G16" s="756"/>
      <c r="H16" s="756"/>
      <c r="I16" s="756"/>
      <c r="J16" s="756"/>
      <c r="K16" s="756"/>
      <c r="L16" s="756"/>
      <c r="M16" s="756"/>
      <c r="N16" s="756"/>
    </row>
    <row r="17" spans="2:14" ht="15" customHeight="1" x14ac:dyDescent="0.3">
      <c r="C17" s="756"/>
      <c r="D17" s="756"/>
      <c r="E17" s="756"/>
      <c r="F17" s="756"/>
      <c r="G17" s="756"/>
      <c r="H17" s="756"/>
      <c r="I17" s="756"/>
      <c r="J17" s="756"/>
      <c r="K17" s="756"/>
      <c r="L17" s="756"/>
      <c r="M17" s="756"/>
      <c r="N17" s="756"/>
    </row>
    <row r="18" spans="2:14" ht="15" customHeight="1" x14ac:dyDescent="0.3">
      <c r="C18" s="756"/>
      <c r="D18" s="756"/>
      <c r="E18" s="756"/>
      <c r="F18" s="756"/>
      <c r="G18" s="756"/>
      <c r="H18" s="756"/>
      <c r="I18" s="756"/>
      <c r="J18" s="756"/>
      <c r="K18" s="756"/>
      <c r="L18" s="756"/>
      <c r="M18" s="756"/>
      <c r="N18" s="756"/>
    </row>
    <row r="19" spans="2:14" ht="15" customHeight="1" x14ac:dyDescent="0.3">
      <c r="C19" s="756"/>
      <c r="D19" s="756"/>
      <c r="E19" s="756"/>
      <c r="F19" s="756"/>
      <c r="G19" s="756"/>
      <c r="H19" s="756"/>
      <c r="I19" s="756"/>
      <c r="J19" s="756"/>
      <c r="K19" s="756"/>
      <c r="L19" s="756"/>
      <c r="M19" s="756"/>
      <c r="N19" s="756"/>
    </row>
    <row r="20" spans="2:14" ht="15" customHeight="1" x14ac:dyDescent="0.3">
      <c r="C20" s="756"/>
      <c r="D20" s="756"/>
      <c r="E20" s="756"/>
      <c r="F20" s="756"/>
      <c r="G20" s="756"/>
      <c r="H20" s="756"/>
      <c r="I20" s="756"/>
      <c r="J20" s="756"/>
      <c r="K20" s="756"/>
      <c r="L20" s="756"/>
      <c r="M20" s="756"/>
      <c r="N20" s="756"/>
    </row>
    <row r="21" spans="2:14" ht="15" customHeight="1" x14ac:dyDescent="0.3">
      <c r="C21" s="756"/>
      <c r="D21" s="756"/>
      <c r="E21" s="756"/>
      <c r="F21" s="756"/>
      <c r="G21" s="756"/>
      <c r="H21" s="756"/>
      <c r="I21" s="756"/>
      <c r="J21" s="756"/>
      <c r="K21" s="756"/>
      <c r="L21" s="756"/>
      <c r="M21" s="756"/>
      <c r="N21" s="756"/>
    </row>
    <row r="22" spans="2:14" ht="15" customHeight="1" x14ac:dyDescent="0.3">
      <c r="C22" s="756"/>
      <c r="D22" s="756"/>
      <c r="E22" s="756"/>
      <c r="F22" s="756"/>
      <c r="G22" s="756"/>
      <c r="H22" s="756"/>
      <c r="I22" s="756"/>
      <c r="J22" s="756"/>
      <c r="K22" s="756"/>
      <c r="L22" s="756"/>
      <c r="M22" s="756"/>
      <c r="N22" s="756"/>
    </row>
    <row r="23" spans="2:14" ht="15" customHeight="1" x14ac:dyDescent="0.3">
      <c r="C23" s="756"/>
      <c r="D23" s="756"/>
      <c r="E23" s="756"/>
      <c r="F23" s="756"/>
      <c r="G23" s="756"/>
      <c r="H23" s="756"/>
      <c r="I23" s="756"/>
      <c r="J23" s="756"/>
      <c r="K23" s="756"/>
      <c r="L23" s="756"/>
      <c r="M23" s="756"/>
      <c r="N23" s="756"/>
    </row>
    <row r="24" spans="2:14" ht="15" customHeight="1" x14ac:dyDescent="0.3">
      <c r="C24" s="756"/>
      <c r="D24" s="756"/>
      <c r="E24" s="756"/>
      <c r="F24" s="756"/>
      <c r="G24" s="756"/>
      <c r="H24" s="756"/>
      <c r="I24" s="756"/>
      <c r="J24" s="756"/>
      <c r="K24" s="756"/>
      <c r="L24" s="756"/>
      <c r="M24" s="756"/>
      <c r="N24" s="756"/>
    </row>
    <row r="25" spans="2:14" ht="15" customHeight="1" x14ac:dyDescent="0.3">
      <c r="C25" s="756"/>
      <c r="D25" s="756"/>
      <c r="E25" s="756"/>
      <c r="F25" s="756"/>
      <c r="G25" s="756"/>
      <c r="H25" s="756"/>
      <c r="I25" s="756"/>
      <c r="J25" s="756"/>
      <c r="K25" s="756"/>
      <c r="L25" s="756"/>
      <c r="M25" s="756"/>
      <c r="N25" s="756"/>
    </row>
    <row r="26" spans="2:14" ht="15" customHeight="1" x14ac:dyDescent="0.3">
      <c r="C26" s="756"/>
      <c r="D26" s="756"/>
      <c r="E26" s="756"/>
      <c r="F26" s="756"/>
      <c r="G26" s="756"/>
      <c r="H26" s="756"/>
      <c r="I26" s="756"/>
      <c r="J26" s="756"/>
      <c r="K26" s="756"/>
      <c r="L26" s="756"/>
      <c r="M26" s="756"/>
      <c r="N26" s="756"/>
    </row>
    <row r="27" spans="2:14" ht="15" customHeight="1" x14ac:dyDescent="0.3">
      <c r="C27" s="756"/>
      <c r="D27" s="756"/>
      <c r="E27" s="756"/>
      <c r="F27" s="756"/>
      <c r="G27" s="756"/>
      <c r="H27" s="756"/>
      <c r="I27" s="756"/>
      <c r="J27" s="756"/>
      <c r="K27" s="756"/>
      <c r="L27" s="756"/>
      <c r="M27" s="756"/>
      <c r="N27" s="756"/>
    </row>
    <row r="28" spans="2:14" ht="15" customHeight="1" x14ac:dyDescent="0.3">
      <c r="C28" s="756"/>
      <c r="D28" s="756"/>
      <c r="E28" s="756"/>
      <c r="F28" s="756"/>
      <c r="G28" s="756"/>
      <c r="H28" s="756"/>
      <c r="I28" s="756"/>
      <c r="J28" s="756"/>
      <c r="K28" s="756"/>
      <c r="L28" s="756"/>
      <c r="M28" s="756"/>
      <c r="N28" s="756"/>
    </row>
    <row r="29" spans="2:14" ht="15" customHeight="1" x14ac:dyDescent="0.3">
      <c r="C29" s="756"/>
      <c r="D29" s="756"/>
      <c r="E29" s="756"/>
      <c r="F29" s="756"/>
      <c r="G29" s="756"/>
      <c r="H29" s="756"/>
      <c r="I29" s="756"/>
      <c r="J29" s="756"/>
      <c r="K29" s="756"/>
      <c r="L29" s="756"/>
      <c r="M29" s="756"/>
      <c r="N29" s="756"/>
    </row>
    <row r="30" spans="2:14" ht="15" customHeight="1" thickBot="1" x14ac:dyDescent="0.35">
      <c r="C30" s="756"/>
      <c r="D30" s="756"/>
      <c r="E30" s="756"/>
      <c r="F30" s="756"/>
      <c r="G30" s="756"/>
      <c r="H30" s="756"/>
      <c r="I30" s="756"/>
      <c r="J30" s="756"/>
      <c r="K30" s="756"/>
      <c r="L30" s="756"/>
      <c r="M30" s="756"/>
      <c r="N30" s="756"/>
    </row>
    <row r="31" spans="2:14" ht="15" hidden="1" customHeight="1" thickBot="1" x14ac:dyDescent="0.35">
      <c r="C31" s="756"/>
      <c r="D31" s="756"/>
      <c r="E31" s="756"/>
      <c r="F31" s="756"/>
      <c r="G31" s="756"/>
      <c r="H31" s="756"/>
      <c r="I31" s="757">
        <v>0</v>
      </c>
      <c r="J31" s="756"/>
      <c r="K31" s="756"/>
      <c r="L31" s="756"/>
      <c r="M31" s="756"/>
      <c r="N31" s="756"/>
    </row>
    <row r="32" spans="2:14" s="738" customFormat="1" ht="22.2" customHeight="1" x14ac:dyDescent="0.25">
      <c r="B32" s="758" t="s">
        <v>127</v>
      </c>
      <c r="C32" s="759"/>
      <c r="D32" s="769" t="s">
        <v>173</v>
      </c>
      <c r="E32" s="770"/>
      <c r="F32" s="771"/>
      <c r="G32" s="761" t="s">
        <v>97</v>
      </c>
      <c r="H32" s="763" t="s">
        <v>18</v>
      </c>
      <c r="I32" s="764"/>
      <c r="J32" s="765"/>
      <c r="K32" s="779" t="s">
        <v>158</v>
      </c>
    </row>
    <row r="33" spans="2:11" s="738" customFormat="1" ht="30" customHeight="1" thickBot="1" x14ac:dyDescent="0.3">
      <c r="B33" s="749" t="s">
        <v>132</v>
      </c>
      <c r="C33" s="760" t="s">
        <v>58</v>
      </c>
      <c r="D33" s="772" t="s">
        <v>19</v>
      </c>
      <c r="E33" s="773" t="s">
        <v>174</v>
      </c>
      <c r="F33" s="774" t="s">
        <v>175</v>
      </c>
      <c r="G33" s="762"/>
      <c r="H33" s="766" t="s">
        <v>19</v>
      </c>
      <c r="I33" s="767" t="s">
        <v>111</v>
      </c>
      <c r="J33" s="768" t="s">
        <v>103</v>
      </c>
      <c r="K33" s="780"/>
    </row>
    <row r="34" spans="2:11" s="785" customFormat="1" ht="4.2" customHeight="1" x14ac:dyDescent="0.25">
      <c r="B34" s="781">
        <v>0</v>
      </c>
      <c r="C34" s="782"/>
      <c r="D34" s="782"/>
      <c r="E34" s="783">
        <v>0</v>
      </c>
      <c r="F34" s="783">
        <v>0</v>
      </c>
      <c r="G34" s="784"/>
      <c r="H34" s="782"/>
      <c r="I34" s="783">
        <v>0</v>
      </c>
      <c r="J34" s="783">
        <v>0</v>
      </c>
      <c r="K34" s="784"/>
    </row>
    <row r="35" spans="2:11" s="486" customFormat="1" x14ac:dyDescent="0.25">
      <c r="B35" s="472">
        <v>1</v>
      </c>
      <c r="C35" s="178">
        <f>+'CONTROL GEN. AVAN. OBRA.'!C11</f>
        <v>46174</v>
      </c>
      <c r="D35" s="775">
        <f>+'CONTROL GEN. AVAN. OBRA.'!D11</f>
        <v>157550.32</v>
      </c>
      <c r="E35" s="776">
        <f>ROUND(D35/$D$38,4)</f>
        <v>0.24660000000000001</v>
      </c>
      <c r="F35" s="777">
        <f>+E35</f>
        <v>0.24660000000000001</v>
      </c>
      <c r="G35" s="777">
        <f>0.8*F35</f>
        <v>0.19728000000000001</v>
      </c>
      <c r="H35" s="775">
        <f>+'CONTROL GEN. AVAN. OBRA.'!H11</f>
        <v>400648.29</v>
      </c>
      <c r="I35" s="776">
        <f>ROUND(H35/$D$38,4)</f>
        <v>0.62719999999999998</v>
      </c>
      <c r="J35" s="777">
        <f>+I35</f>
        <v>0.62719999999999998</v>
      </c>
      <c r="K35" s="471" t="str">
        <f>+'CONTROL GEN. AVAN. OBRA.'!P11</f>
        <v>ADELANTADA</v>
      </c>
    </row>
    <row r="36" spans="2:11" s="486" customFormat="1" ht="15" customHeight="1" x14ac:dyDescent="0.25">
      <c r="B36" s="472">
        <v>2</v>
      </c>
      <c r="C36" s="178">
        <f>+'CONTROL GEN. AVAN. OBRA.'!C12</f>
        <v>46204</v>
      </c>
      <c r="D36" s="775">
        <f>+'CONTROL GEN. AVAN. OBRA.'!D12</f>
        <v>203396.72</v>
      </c>
      <c r="E36" s="776">
        <f>ROUND(D36/$D$38,4)</f>
        <v>0.31840000000000002</v>
      </c>
      <c r="F36" s="777">
        <f>+E36+F35</f>
        <v>0.56500000000000006</v>
      </c>
      <c r="G36" s="777">
        <f t="shared" ref="G36:G37" si="0">0.8*F36</f>
        <v>0.45200000000000007</v>
      </c>
      <c r="H36" s="775">
        <f>+'CONTROL GEN. AVAN. OBRA.'!H12</f>
        <v>224198.55</v>
      </c>
      <c r="I36" s="776">
        <f>ROUND(H36/$D$38,4)</f>
        <v>0.35099999999999998</v>
      </c>
      <c r="J36" s="777">
        <f>+I36+J35</f>
        <v>0.97819999999999996</v>
      </c>
      <c r="K36" s="471" t="str">
        <f>+'CONTROL GEN. AVAN. OBRA.'!P12</f>
        <v>ADELANTADA</v>
      </c>
    </row>
    <row r="37" spans="2:11" s="486" customFormat="1" ht="15" customHeight="1" x14ac:dyDescent="0.25">
      <c r="B37" s="472">
        <v>3</v>
      </c>
      <c r="C37" s="178">
        <f>+'CONTROL GEN. AVAN. OBRA.'!C13</f>
        <v>46235</v>
      </c>
      <c r="D37" s="775">
        <f>+'CONTROL GEN. AVAN. OBRA.'!D13</f>
        <v>277880.43</v>
      </c>
      <c r="E37" s="776">
        <f>ROUND(D37/$D$38,4)</f>
        <v>0.435</v>
      </c>
      <c r="F37" s="777">
        <f>+E37+F36</f>
        <v>1</v>
      </c>
      <c r="G37" s="777">
        <f t="shared" si="0"/>
        <v>0.8</v>
      </c>
      <c r="H37" s="775"/>
      <c r="I37" s="776"/>
      <c r="J37" s="777"/>
      <c r="K37" s="471"/>
    </row>
    <row r="38" spans="2:11" s="486" customFormat="1" ht="30" customHeight="1" x14ac:dyDescent="0.25">
      <c r="B38" s="473" t="s">
        <v>2</v>
      </c>
      <c r="C38" s="473"/>
      <c r="D38" s="778">
        <f>SUM(D35:D37)</f>
        <v>638827.47</v>
      </c>
      <c r="E38" s="172">
        <f>SUM(E35:E37)</f>
        <v>1</v>
      </c>
      <c r="F38" s="473"/>
      <c r="G38" s="473"/>
      <c r="H38" s="778">
        <f>SUM(H35:H36)</f>
        <v>624846.84</v>
      </c>
      <c r="I38" s="172">
        <f>SUM(I35:I36)</f>
        <v>0.97819999999999996</v>
      </c>
      <c r="J38" s="473"/>
      <c r="K38" s="474" t="str">
        <f>+'CONTROL GEN. AVAN. OBRA.'!P14</f>
        <v>OBRA ADELANTADA</v>
      </c>
    </row>
  </sheetData>
  <mergeCells count="7">
    <mergeCell ref="B1:K1"/>
    <mergeCell ref="C2:K2"/>
    <mergeCell ref="B32:C32"/>
    <mergeCell ref="D32:F32"/>
    <mergeCell ref="G32:G33"/>
    <mergeCell ref="H32:J32"/>
    <mergeCell ref="K32:K33"/>
  </mergeCells>
  <phoneticPr fontId="12" type="noConversion"/>
  <printOptions horizontalCentered="1"/>
  <pageMargins left="0.59055118110236227" right="0.59055118110236227" top="0.78740157480314965" bottom="0.59055118110236227" header="0.31496062992125984" footer="0.31496062992125984"/>
  <pageSetup paperSize="9" scale="84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3024-432D-41E3-A2E3-53BC3EDC2460}">
  <sheetPr>
    <tabColor rgb="FF00B050"/>
    <pageSetUpPr fitToPage="1"/>
  </sheetPr>
  <dimension ref="B1:L44"/>
  <sheetViews>
    <sheetView view="pageBreakPreview" zoomScale="80" zoomScaleNormal="100" zoomScaleSheetLayoutView="80" workbookViewId="0">
      <selection activeCell="Q39" sqref="Q39"/>
    </sheetView>
  </sheetViews>
  <sheetFormatPr baseColWidth="10" defaultColWidth="11.44140625" defaultRowHeight="15" customHeight="1" x14ac:dyDescent="0.25"/>
  <cols>
    <col min="1" max="1" width="1.6640625" style="157" customWidth="1"/>
    <col min="2" max="2" width="12.6640625" style="157" customWidth="1"/>
    <col min="3" max="5" width="13.6640625" style="157" customWidth="1"/>
    <col min="6" max="12" width="12.6640625" style="157" customWidth="1"/>
    <col min="13" max="13" width="1.6640625" style="157" customWidth="1"/>
    <col min="14" max="16384" width="11.44140625" style="157"/>
  </cols>
  <sheetData>
    <row r="1" spans="2:12" s="105" customFormat="1" ht="30" customHeight="1" thickBot="1" x14ac:dyDescent="0.3">
      <c r="B1" s="714" t="s">
        <v>185</v>
      </c>
      <c r="C1" s="715"/>
      <c r="D1" s="715"/>
      <c r="E1" s="715"/>
      <c r="F1" s="715"/>
      <c r="G1" s="715"/>
      <c r="H1" s="715"/>
      <c r="I1" s="715"/>
      <c r="J1" s="715"/>
      <c r="K1" s="715"/>
      <c r="L1" s="716"/>
    </row>
    <row r="2" spans="2:12" s="105" customFormat="1" ht="4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</row>
    <row r="3" spans="2:12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</row>
    <row r="4" spans="2:12" s="10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</row>
    <row r="5" spans="2:12" s="10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</row>
    <row r="6" spans="2:12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6"/>
      <c r="F6" s="103" t="s">
        <v>191</v>
      </c>
      <c r="G6" s="103"/>
      <c r="H6" s="158">
        <f>+FT!$E$25</f>
        <v>638827.47</v>
      </c>
      <c r="I6" s="106" t="s">
        <v>189</v>
      </c>
      <c r="J6" s="103" t="s">
        <v>192</v>
      </c>
      <c r="K6" s="159">
        <v>1</v>
      </c>
    </row>
    <row r="7" spans="2:12" s="105" customFormat="1" ht="15" customHeight="1" x14ac:dyDescent="0.25">
      <c r="B7" s="786" t="s">
        <v>631</v>
      </c>
      <c r="C7" s="156" t="str">
        <f>+FT!$E$46</f>
        <v>ING. CESAR RICARDO ZELADA RODRIGUEZ (CIP N°
98469)</v>
      </c>
      <c r="D7" s="155"/>
      <c r="E7" s="155"/>
      <c r="F7" s="156" t="s">
        <v>190</v>
      </c>
      <c r="G7" s="156"/>
      <c r="H7" s="266">
        <f>+H6</f>
        <v>638827.47</v>
      </c>
      <c r="I7" s="155" t="s">
        <v>189</v>
      </c>
      <c r="J7" s="156" t="s">
        <v>192</v>
      </c>
      <c r="K7" s="267">
        <f>+K6</f>
        <v>1</v>
      </c>
      <c r="L7" s="177"/>
    </row>
    <row r="8" spans="2:12" ht="6.9" customHeight="1" x14ac:dyDescent="0.25">
      <c r="G8" s="106"/>
      <c r="H8" s="106"/>
      <c r="I8" s="103"/>
      <c r="J8" s="154"/>
      <c r="K8" s="103"/>
      <c r="L8" s="105"/>
    </row>
    <row r="9" spans="2:12" ht="15" customHeight="1" x14ac:dyDescent="0.25">
      <c r="B9" s="787" t="s">
        <v>602</v>
      </c>
      <c r="C9" s="787"/>
      <c r="D9" s="787"/>
      <c r="E9" s="787"/>
      <c r="G9" s="106"/>
      <c r="H9" s="106"/>
      <c r="I9" s="103"/>
      <c r="J9" s="154"/>
      <c r="K9" s="103"/>
      <c r="L9" s="105"/>
    </row>
    <row r="10" spans="2:12" ht="15" customHeight="1" x14ac:dyDescent="0.25">
      <c r="B10" s="788" t="s">
        <v>123</v>
      </c>
      <c r="C10" s="789" t="s">
        <v>58</v>
      </c>
      <c r="D10" s="789" t="s">
        <v>19</v>
      </c>
      <c r="E10" s="788" t="s">
        <v>174</v>
      </c>
      <c r="G10" s="106"/>
      <c r="H10" s="106"/>
      <c r="I10" s="103"/>
      <c r="J10" s="154"/>
      <c r="K10" s="103"/>
      <c r="L10" s="105"/>
    </row>
    <row r="11" spans="2:12" ht="15" customHeight="1" x14ac:dyDescent="0.25">
      <c r="B11" s="794" t="s">
        <v>186</v>
      </c>
      <c r="C11" s="265">
        <f>+'CONTROL GEN. AVAN. OBRA.'!C11</f>
        <v>46174</v>
      </c>
      <c r="D11" s="795">
        <f>+'CONTROL GEN. AVAN. OBRA.'!H11</f>
        <v>400648.29</v>
      </c>
      <c r="E11" s="796">
        <f>+'CONTROL GEN. AVAN. OBRA.'!J11</f>
        <v>0.62719999999999998</v>
      </c>
      <c r="G11" s="106"/>
      <c r="H11" s="106"/>
      <c r="I11" s="103"/>
      <c r="J11" s="154"/>
      <c r="K11" s="103"/>
      <c r="L11" s="105"/>
    </row>
    <row r="12" spans="2:12" ht="15" customHeight="1" x14ac:dyDescent="0.25">
      <c r="B12" s="797" t="s">
        <v>187</v>
      </c>
      <c r="C12" s="178">
        <f>+'CONTROL GEN. AVAN. OBRA.'!C12</f>
        <v>46204</v>
      </c>
      <c r="D12" s="795">
        <f>+'CONTROL GEN. AVAN. OBRA.'!H12</f>
        <v>224198.55</v>
      </c>
      <c r="E12" s="796">
        <f>+'CONTROL GEN. AVAN. OBRA.'!J12</f>
        <v>0.35099999999999998</v>
      </c>
      <c r="G12" s="106"/>
      <c r="H12" s="106"/>
      <c r="I12" s="103"/>
      <c r="J12" s="154"/>
      <c r="K12" s="103"/>
      <c r="L12" s="105"/>
    </row>
    <row r="13" spans="2:12" ht="15" customHeight="1" x14ac:dyDescent="0.25">
      <c r="B13" s="797" t="s">
        <v>199</v>
      </c>
      <c r="C13" s="178">
        <f>+'CONTROL GEN. AVAN. OBRA.'!C13</f>
        <v>46235</v>
      </c>
      <c r="D13" s="775"/>
      <c r="E13" s="777"/>
      <c r="G13" s="106"/>
      <c r="H13" s="106"/>
      <c r="I13" s="103"/>
      <c r="J13" s="154"/>
      <c r="K13" s="103"/>
      <c r="L13" s="105"/>
    </row>
    <row r="14" spans="2:12" s="176" customFormat="1" ht="15" customHeight="1" x14ac:dyDescent="0.25">
      <c r="B14" s="798" t="s">
        <v>103</v>
      </c>
      <c r="C14" s="180"/>
      <c r="D14" s="799">
        <f>SUM(D11:D12)</f>
        <v>624846.84</v>
      </c>
      <c r="E14" s="800">
        <f>SUM(E11:E12)</f>
        <v>0.97819999999999996</v>
      </c>
      <c r="G14" s="106"/>
      <c r="H14" s="106"/>
      <c r="I14" s="103"/>
      <c r="J14" s="154"/>
      <c r="K14" s="103"/>
      <c r="L14" s="105"/>
    </row>
    <row r="15" spans="2:12" ht="15" customHeight="1" x14ac:dyDescent="0.25">
      <c r="B15" s="801" t="s">
        <v>0</v>
      </c>
      <c r="C15" s="181"/>
      <c r="D15" s="799">
        <f>+H6-D14</f>
        <v>13980.630000000005</v>
      </c>
      <c r="E15" s="800">
        <f>1-E14</f>
        <v>2.1800000000000042E-2</v>
      </c>
      <c r="G15" s="106"/>
      <c r="H15" s="106"/>
      <c r="I15" s="103"/>
      <c r="J15" s="154"/>
      <c r="K15" s="103"/>
      <c r="L15" s="105"/>
    </row>
    <row r="16" spans="2:12" ht="15" customHeight="1" x14ac:dyDescent="0.25">
      <c r="B16" s="174"/>
      <c r="C16" s="175"/>
      <c r="D16" s="174"/>
      <c r="E16" s="174"/>
    </row>
    <row r="17" spans="2:11" ht="15" customHeight="1" x14ac:dyDescent="0.25">
      <c r="B17" s="174"/>
      <c r="C17" s="175"/>
      <c r="D17" s="174"/>
      <c r="E17" s="174"/>
    </row>
    <row r="18" spans="2:11" ht="30" customHeight="1" x14ac:dyDescent="0.25">
      <c r="B18" s="790" t="str">
        <f>'CURVA S'!B32</f>
        <v>VALORIZACIÓN</v>
      </c>
      <c r="C18" s="790">
        <f>'CURVA S'!C32</f>
        <v>0</v>
      </c>
      <c r="D18" s="790" t="str">
        <f>'CURVA S'!D32</f>
        <v>PROGRAMADO</v>
      </c>
      <c r="E18" s="790">
        <f>'CURVA S'!E32</f>
        <v>0</v>
      </c>
      <c r="F18" s="790">
        <f>'CURVA S'!F32</f>
        <v>0</v>
      </c>
      <c r="G18" s="791" t="str">
        <f>'CURVA S'!G32</f>
        <v>CURVA DEL 80%</v>
      </c>
      <c r="H18" s="790" t="str">
        <f>'CURVA S'!H32</f>
        <v>EJECUTADO</v>
      </c>
      <c r="I18" s="790">
        <f>'CURVA S'!I32</f>
        <v>0</v>
      </c>
      <c r="J18" s="790">
        <f>'CURVA S'!J32</f>
        <v>0</v>
      </c>
      <c r="K18" s="791" t="str">
        <f>'CURVA S'!K32</f>
        <v>ESTADO DE LA OBRA</v>
      </c>
    </row>
    <row r="19" spans="2:11" ht="30" customHeight="1" x14ac:dyDescent="0.25">
      <c r="B19" s="792" t="str">
        <f>'CURVA S'!B33</f>
        <v>Nº</v>
      </c>
      <c r="C19" s="793" t="str">
        <f>'CURVA S'!C33</f>
        <v>MES</v>
      </c>
      <c r="D19" s="793" t="str">
        <f>'CURVA S'!D33</f>
        <v>MONTO</v>
      </c>
      <c r="E19" s="793" t="str">
        <f>'CURVA S'!E33</f>
        <v>% MENSUAL</v>
      </c>
      <c r="F19" s="792" t="str">
        <f>'CURVA S'!F33</f>
        <v>%ACUMULADO</v>
      </c>
      <c r="G19" s="791">
        <f>'CURVA S'!G33</f>
        <v>0</v>
      </c>
      <c r="H19" s="793" t="str">
        <f>'CURVA S'!H33</f>
        <v>MONTO</v>
      </c>
      <c r="I19" s="793" t="str">
        <f>'CURVA S'!I33</f>
        <v>MENSUAL</v>
      </c>
      <c r="J19" s="792" t="str">
        <f>'CURVA S'!J33</f>
        <v>ACUMULADO</v>
      </c>
      <c r="K19" s="791">
        <f>'CURVA S'!K33</f>
        <v>0</v>
      </c>
    </row>
    <row r="20" spans="2:11" ht="15" customHeight="1" x14ac:dyDescent="0.25">
      <c r="B20" s="472">
        <f>'CURVA S'!B35</f>
        <v>1</v>
      </c>
      <c r="C20" s="178">
        <f>'CURVA S'!C35</f>
        <v>46174</v>
      </c>
      <c r="D20" s="775">
        <f>'CURVA S'!D35</f>
        <v>157550.32</v>
      </c>
      <c r="E20" s="776">
        <f>'CURVA S'!E35</f>
        <v>0.24660000000000001</v>
      </c>
      <c r="F20" s="777">
        <f>'CURVA S'!F35</f>
        <v>0.24660000000000001</v>
      </c>
      <c r="G20" s="777">
        <f>'CURVA S'!G35</f>
        <v>0.19728000000000001</v>
      </c>
      <c r="H20" s="775">
        <f>'CURVA S'!H35</f>
        <v>400648.29</v>
      </c>
      <c r="I20" s="776">
        <f>'CURVA S'!I35</f>
        <v>0.62719999999999998</v>
      </c>
      <c r="J20" s="777">
        <f>'CURVA S'!J35</f>
        <v>0.62719999999999998</v>
      </c>
      <c r="K20" s="471" t="str">
        <f>'CURVA S'!K35</f>
        <v>ADELANTADA</v>
      </c>
    </row>
    <row r="21" spans="2:11" ht="15" customHeight="1" x14ac:dyDescent="0.25">
      <c r="B21" s="472">
        <f>'CURVA S'!B36</f>
        <v>2</v>
      </c>
      <c r="C21" s="178">
        <f>'CURVA S'!C36</f>
        <v>46204</v>
      </c>
      <c r="D21" s="775">
        <f>'CURVA S'!D36</f>
        <v>203396.72</v>
      </c>
      <c r="E21" s="776">
        <f>'CURVA S'!E36</f>
        <v>0.31840000000000002</v>
      </c>
      <c r="F21" s="777">
        <f>'CURVA S'!F36</f>
        <v>0.56500000000000006</v>
      </c>
      <c r="G21" s="777">
        <f>'CURVA S'!G36</f>
        <v>0.45200000000000007</v>
      </c>
      <c r="H21" s="775">
        <f>'CURVA S'!H36</f>
        <v>224198.55</v>
      </c>
      <c r="I21" s="776">
        <f>'CURVA S'!I36</f>
        <v>0.35099999999999998</v>
      </c>
      <c r="J21" s="777">
        <f>'CURVA S'!J36</f>
        <v>0.97819999999999996</v>
      </c>
      <c r="K21" s="471" t="str">
        <f>'CURVA S'!K36</f>
        <v>ADELANTADA</v>
      </c>
    </row>
    <row r="22" spans="2:11" ht="15" customHeight="1" x14ac:dyDescent="0.25">
      <c r="B22" s="472">
        <f>'CURVA S'!B37</f>
        <v>3</v>
      </c>
      <c r="C22" s="178">
        <f>'CURVA S'!C37</f>
        <v>46235</v>
      </c>
      <c r="D22" s="775">
        <f>'CURVA S'!D37</f>
        <v>277880.43</v>
      </c>
      <c r="E22" s="776">
        <f>'CURVA S'!E37</f>
        <v>0.435</v>
      </c>
      <c r="F22" s="777">
        <f>'CURVA S'!F37</f>
        <v>1</v>
      </c>
      <c r="G22" s="777">
        <f>'CURVA S'!G37</f>
        <v>0.8</v>
      </c>
      <c r="H22" s="775"/>
      <c r="I22" s="776"/>
      <c r="J22" s="777"/>
      <c r="K22" s="471"/>
    </row>
    <row r="23" spans="2:11" ht="30" customHeight="1" x14ac:dyDescent="0.25">
      <c r="B23" s="473" t="str">
        <f>'CURVA S'!B38</f>
        <v>TOTAL</v>
      </c>
      <c r="C23" s="473"/>
      <c r="D23" s="778">
        <f>'CURVA S'!D38</f>
        <v>638827.47</v>
      </c>
      <c r="E23" s="172">
        <f>'CURVA S'!E38</f>
        <v>1</v>
      </c>
      <c r="F23" s="473"/>
      <c r="G23" s="473"/>
      <c r="H23" s="778">
        <f>'CURVA S'!H38</f>
        <v>624846.84</v>
      </c>
      <c r="I23" s="172">
        <f>'CURVA S'!I38</f>
        <v>0.97819999999999996</v>
      </c>
      <c r="J23" s="473"/>
      <c r="K23" s="474" t="str">
        <f>'CURVA S'!K38</f>
        <v>OBRA ADELANTADA</v>
      </c>
    </row>
    <row r="24" spans="2:11" ht="15" customHeight="1" x14ac:dyDescent="0.25">
      <c r="B24" s="174"/>
      <c r="C24" s="175"/>
      <c r="D24" s="174"/>
      <c r="E24" s="174"/>
    </row>
    <row r="25" spans="2:11" ht="15" customHeight="1" x14ac:dyDescent="0.25">
      <c r="B25" s="174"/>
      <c r="C25" s="175"/>
      <c r="D25" s="174"/>
      <c r="E25" s="174"/>
    </row>
    <row r="26" spans="2:11" ht="15" customHeight="1" x14ac:dyDescent="0.25">
      <c r="B26" s="174"/>
      <c r="C26" s="175"/>
      <c r="D26" s="174"/>
      <c r="E26" s="174"/>
    </row>
    <row r="27" spans="2:11" ht="15" customHeight="1" x14ac:dyDescent="0.25">
      <c r="B27" s="174"/>
      <c r="C27" s="175"/>
      <c r="D27" s="174"/>
      <c r="E27" s="174"/>
    </row>
    <row r="28" spans="2:11" ht="15" customHeight="1" x14ac:dyDescent="0.25">
      <c r="B28" s="174"/>
      <c r="C28" s="175"/>
      <c r="D28" s="174"/>
      <c r="E28" s="174"/>
    </row>
    <row r="29" spans="2:11" ht="15" customHeight="1" x14ac:dyDescent="0.25">
      <c r="B29" s="174"/>
      <c r="C29" s="175"/>
      <c r="D29" s="174"/>
      <c r="E29" s="174"/>
    </row>
    <row r="30" spans="2:11" ht="15" customHeight="1" x14ac:dyDescent="0.25">
      <c r="B30" s="174"/>
      <c r="C30" s="175"/>
      <c r="D30" s="174"/>
      <c r="E30" s="174"/>
    </row>
    <row r="31" spans="2:11" ht="15" customHeight="1" x14ac:dyDescent="0.25">
      <c r="B31" s="174"/>
      <c r="C31" s="175"/>
      <c r="D31" s="174"/>
      <c r="E31" s="174"/>
    </row>
    <row r="32" spans="2:11" ht="15" customHeight="1" x14ac:dyDescent="0.25">
      <c r="B32" s="174"/>
      <c r="C32" s="175"/>
      <c r="D32" s="174"/>
      <c r="E32" s="174"/>
    </row>
    <row r="39" spans="2:5" ht="15" customHeight="1" x14ac:dyDescent="0.25">
      <c r="B39" s="174"/>
      <c r="C39" s="175"/>
      <c r="D39" s="174"/>
      <c r="E39" s="174"/>
    </row>
    <row r="40" spans="2:5" ht="15" customHeight="1" x14ac:dyDescent="0.25">
      <c r="B40" s="174"/>
      <c r="C40" s="175"/>
      <c r="D40" s="174"/>
      <c r="E40" s="174"/>
    </row>
    <row r="41" spans="2:5" ht="15" customHeight="1" x14ac:dyDescent="0.25">
      <c r="B41" s="174"/>
      <c r="C41" s="175"/>
      <c r="D41" s="174"/>
      <c r="E41" s="174"/>
    </row>
    <row r="42" spans="2:5" ht="15" customHeight="1" x14ac:dyDescent="0.25">
      <c r="B42" s="174"/>
      <c r="C42" s="175"/>
      <c r="D42" s="174"/>
      <c r="E42" s="174"/>
    </row>
    <row r="43" spans="2:5" ht="15" customHeight="1" x14ac:dyDescent="0.25">
      <c r="B43" s="174"/>
      <c r="C43" s="175"/>
      <c r="D43" s="174"/>
      <c r="E43" s="174"/>
    </row>
    <row r="44" spans="2:5" ht="15" customHeight="1" x14ac:dyDescent="0.25">
      <c r="B44" s="174"/>
      <c r="C44" s="175"/>
      <c r="D44" s="174"/>
      <c r="E44" s="174"/>
    </row>
  </sheetData>
  <mergeCells count="8">
    <mergeCell ref="B1:L1"/>
    <mergeCell ref="C2:L2"/>
    <mergeCell ref="B9:E9"/>
    <mergeCell ref="B18:C18"/>
    <mergeCell ref="D18:F18"/>
    <mergeCell ref="G18:G19"/>
    <mergeCell ref="H18:J18"/>
    <mergeCell ref="K18:K19"/>
  </mergeCells>
  <phoneticPr fontId="12" type="noConversion"/>
  <printOptions horizontalCentered="1"/>
  <pageMargins left="0.59055118110236227" right="0.59055118110236227" top="0.78740157480314965" bottom="0.59055118110236227" header="0.31496062992125984" footer="0.31496062992125984"/>
  <pageSetup paperSize="9" scale="92" fitToHeight="0" orientation="landscape" r:id="rId1"/>
  <rowBreaks count="1" manualBreakCount="1">
    <brk id="24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E227-BD53-4EEC-85FA-638A354318E3}">
  <sheetPr>
    <tabColor rgb="FF00B050"/>
    <pageSetUpPr fitToPage="1"/>
  </sheetPr>
  <dimension ref="B1:K33"/>
  <sheetViews>
    <sheetView view="pageBreakPreview" topLeftCell="A14" zoomScale="90" zoomScaleNormal="100" zoomScaleSheetLayoutView="90" workbookViewId="0">
      <selection activeCell="K15" sqref="K15"/>
    </sheetView>
  </sheetViews>
  <sheetFormatPr baseColWidth="10" defaultColWidth="11.44140625" defaultRowHeight="15" customHeight="1" x14ac:dyDescent="0.25"/>
  <cols>
    <col min="1" max="1" width="1.6640625" style="157" customWidth="1"/>
    <col min="2" max="7" width="18.6640625" style="157" customWidth="1"/>
    <col min="8" max="8" width="1.6640625" style="157" customWidth="1"/>
    <col min="9" max="16384" width="11.44140625" style="157"/>
  </cols>
  <sheetData>
    <row r="1" spans="2:7" s="105" customFormat="1" ht="30" customHeight="1" x14ac:dyDescent="0.25">
      <c r="B1" s="803" t="s">
        <v>589</v>
      </c>
      <c r="C1" s="803"/>
      <c r="D1" s="803"/>
      <c r="E1" s="803"/>
      <c r="F1" s="803"/>
      <c r="G1" s="803"/>
    </row>
    <row r="2" spans="2:7" s="105" customFormat="1" ht="30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</row>
    <row r="3" spans="2:7" s="10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</row>
    <row r="4" spans="2:7" s="10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</row>
    <row r="5" spans="2:7" s="10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</row>
    <row r="6" spans="2:7" s="10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3" t="s">
        <v>191</v>
      </c>
      <c r="F6" s="158">
        <f>+FT!$E$25</f>
        <v>638827.47</v>
      </c>
      <c r="G6" s="106" t="s">
        <v>189</v>
      </c>
    </row>
    <row r="7" spans="2:7" s="105" customFormat="1" ht="15" customHeight="1" x14ac:dyDescent="0.25">
      <c r="B7" s="786" t="s">
        <v>631</v>
      </c>
      <c r="C7" s="156" t="str">
        <f>+FT!$E$46</f>
        <v>ING. CESAR RICARDO ZELADA RODRIGUEZ (CIP N°
98469)</v>
      </c>
      <c r="D7" s="155"/>
      <c r="E7" s="156" t="s">
        <v>190</v>
      </c>
      <c r="F7" s="266">
        <f>+F6</f>
        <v>638827.47</v>
      </c>
      <c r="G7" s="155" t="s">
        <v>189</v>
      </c>
    </row>
    <row r="8" spans="2:7" ht="6.9" customHeight="1" thickBot="1" x14ac:dyDescent="0.3">
      <c r="G8" s="106"/>
    </row>
    <row r="9" spans="2:7" ht="15" customHeight="1" x14ac:dyDescent="0.25">
      <c r="B9" s="804" t="s">
        <v>123</v>
      </c>
      <c r="C9" s="805" t="s">
        <v>590</v>
      </c>
      <c r="D9" s="805" t="s">
        <v>591</v>
      </c>
      <c r="E9" s="805" t="s">
        <v>592</v>
      </c>
      <c r="F9" s="805"/>
      <c r="G9" s="806" t="s">
        <v>593</v>
      </c>
    </row>
    <row r="10" spans="2:7" ht="15" customHeight="1" thickBot="1" x14ac:dyDescent="0.3">
      <c r="B10" s="807"/>
      <c r="C10" s="808"/>
      <c r="D10" s="808"/>
      <c r="E10" s="809" t="s">
        <v>600</v>
      </c>
      <c r="F10" s="767" t="s">
        <v>3</v>
      </c>
      <c r="G10" s="810"/>
    </row>
    <row r="11" spans="2:7" ht="15" customHeight="1" x14ac:dyDescent="0.25">
      <c r="B11" s="802" t="s">
        <v>598</v>
      </c>
      <c r="C11" s="493"/>
      <c r="D11" s="493"/>
      <c r="E11" s="493"/>
      <c r="F11" s="493"/>
      <c r="G11" s="493"/>
    </row>
    <row r="12" spans="2:7" ht="15" customHeight="1" x14ac:dyDescent="0.25">
      <c r="B12" s="477" t="s">
        <v>594</v>
      </c>
      <c r="C12" s="478" t="s">
        <v>108</v>
      </c>
      <c r="D12" s="476">
        <v>0</v>
      </c>
      <c r="E12" s="487">
        <f>+D12</f>
        <v>0</v>
      </c>
      <c r="F12" s="494">
        <f>+E12/$F$6</f>
        <v>0</v>
      </c>
      <c r="G12" s="492">
        <v>0</v>
      </c>
    </row>
    <row r="13" spans="2:7" ht="15" customHeight="1" x14ac:dyDescent="0.25">
      <c r="B13" s="477" t="s">
        <v>595</v>
      </c>
      <c r="C13" s="480" t="s">
        <v>108</v>
      </c>
      <c r="D13" s="476">
        <v>0</v>
      </c>
      <c r="E13" s="487">
        <f>+D13</f>
        <v>0</v>
      </c>
      <c r="F13" s="494">
        <f>+E13/$F$6</f>
        <v>0</v>
      </c>
      <c r="G13" s="492">
        <v>0</v>
      </c>
    </row>
    <row r="14" spans="2:7" ht="15" customHeight="1" x14ac:dyDescent="0.25">
      <c r="B14" s="491" t="s">
        <v>599</v>
      </c>
      <c r="C14" s="480"/>
      <c r="D14" s="476"/>
      <c r="E14" s="487"/>
      <c r="F14" s="487"/>
      <c r="G14" s="492"/>
    </row>
    <row r="15" spans="2:7" ht="15" customHeight="1" x14ac:dyDescent="0.25">
      <c r="B15" s="479" t="s">
        <v>596</v>
      </c>
      <c r="C15" s="484">
        <v>46174</v>
      </c>
      <c r="D15" s="476">
        <f>+'CONTROL GEN. AVAN. OBRA.'!H11</f>
        <v>400648.29</v>
      </c>
      <c r="E15" s="476">
        <f>+D15</f>
        <v>400648.29</v>
      </c>
      <c r="F15" s="494">
        <f>+E15/$F$6</f>
        <v>0.62716196283794745</v>
      </c>
      <c r="G15" s="492">
        <f>+D15-E15</f>
        <v>0</v>
      </c>
    </row>
    <row r="16" spans="2:7" ht="15" customHeight="1" x14ac:dyDescent="0.25">
      <c r="B16" s="479" t="s">
        <v>597</v>
      </c>
      <c r="C16" s="484">
        <v>46204</v>
      </c>
      <c r="D16" s="476">
        <f>+'CONTROL GEN. AVAN. OBRA.'!H12</f>
        <v>224198.55</v>
      </c>
      <c r="E16" s="476">
        <v>0</v>
      </c>
      <c r="F16" s="494">
        <f>+E16/$F$6</f>
        <v>0</v>
      </c>
      <c r="G16" s="492">
        <f>+D16-E16</f>
        <v>224198.55</v>
      </c>
    </row>
    <row r="17" spans="2:11" ht="15" customHeight="1" x14ac:dyDescent="0.25">
      <c r="B17" s="479" t="s">
        <v>601</v>
      </c>
      <c r="C17" s="484">
        <v>46235</v>
      </c>
      <c r="D17" s="476"/>
      <c r="E17" s="476"/>
      <c r="F17" s="476"/>
      <c r="G17" s="492"/>
    </row>
    <row r="18" spans="2:11" ht="15" hidden="1" customHeight="1" x14ac:dyDescent="0.25">
      <c r="B18" s="475"/>
      <c r="C18" s="481"/>
      <c r="D18" s="476"/>
      <c r="E18" s="476"/>
      <c r="F18" s="476"/>
      <c r="G18" s="482"/>
    </row>
    <row r="19" spans="2:11" ht="15" customHeight="1" x14ac:dyDescent="0.25">
      <c r="B19" s="485" t="s">
        <v>103</v>
      </c>
      <c r="C19" s="488"/>
      <c r="D19" s="483">
        <f>SUM(D12:D18)</f>
        <v>624846.84</v>
      </c>
      <c r="E19" s="483">
        <f>SUM(E12:E18)</f>
        <v>400648.29</v>
      </c>
      <c r="F19" s="495">
        <f>SUM(F12:F18)</f>
        <v>0.62716196283794745</v>
      </c>
      <c r="G19" s="483">
        <f>SUM(G12:G18)</f>
        <v>224198.55</v>
      </c>
    </row>
    <row r="20" spans="2:11" ht="15" customHeight="1" x14ac:dyDescent="0.25">
      <c r="B20" s="489" t="s">
        <v>0</v>
      </c>
      <c r="C20" s="489"/>
      <c r="D20" s="490">
        <f>$F$7-D19</f>
        <v>13980.630000000005</v>
      </c>
      <c r="E20" s="490">
        <f>$F$7-E19</f>
        <v>238179.18</v>
      </c>
      <c r="F20" s="496">
        <f>1-F19</f>
        <v>0.37283803716205255</v>
      </c>
      <c r="G20" s="490">
        <f>+D20</f>
        <v>13980.630000000005</v>
      </c>
    </row>
    <row r="21" spans="2:11" ht="15" customHeight="1" x14ac:dyDescent="0.25">
      <c r="C21" s="486"/>
      <c r="K21" s="157" t="s">
        <v>310</v>
      </c>
    </row>
    <row r="22" spans="2:11" ht="15" customHeight="1" x14ac:dyDescent="0.25">
      <c r="C22" s="486"/>
    </row>
    <row r="23" spans="2:11" ht="15" customHeight="1" x14ac:dyDescent="0.25">
      <c r="C23" s="486"/>
    </row>
    <row r="24" spans="2:11" ht="15" customHeight="1" x14ac:dyDescent="0.25">
      <c r="C24" s="486"/>
    </row>
    <row r="25" spans="2:11" ht="15" customHeight="1" x14ac:dyDescent="0.25">
      <c r="C25" s="486"/>
    </row>
    <row r="26" spans="2:11" ht="15" customHeight="1" x14ac:dyDescent="0.25">
      <c r="C26" s="486"/>
    </row>
    <row r="27" spans="2:11" ht="15" customHeight="1" x14ac:dyDescent="0.25">
      <c r="C27" s="486"/>
    </row>
    <row r="28" spans="2:11" ht="15" customHeight="1" x14ac:dyDescent="0.25">
      <c r="C28" s="486"/>
    </row>
    <row r="29" spans="2:11" ht="15" customHeight="1" x14ac:dyDescent="0.25">
      <c r="C29" s="486"/>
    </row>
    <row r="30" spans="2:11" ht="15" customHeight="1" x14ac:dyDescent="0.25">
      <c r="C30" s="486"/>
    </row>
    <row r="31" spans="2:11" ht="15" customHeight="1" x14ac:dyDescent="0.25">
      <c r="C31" s="486"/>
    </row>
    <row r="32" spans="2:11" ht="15" customHeight="1" x14ac:dyDescent="0.25">
      <c r="C32" s="486"/>
    </row>
    <row r="33" spans="3:3" ht="15" customHeight="1" x14ac:dyDescent="0.25">
      <c r="C33" s="486"/>
    </row>
  </sheetData>
  <mergeCells count="7">
    <mergeCell ref="B1:G1"/>
    <mergeCell ref="C2:G2"/>
    <mergeCell ref="G9:G10"/>
    <mergeCell ref="E9:F9"/>
    <mergeCell ref="B9:B10"/>
    <mergeCell ref="C9:C10"/>
    <mergeCell ref="D9:D10"/>
  </mergeCells>
  <phoneticPr fontId="12" type="noConversion"/>
  <printOptions horizontalCentered="1"/>
  <pageMargins left="0.59055118110236227" right="0.59055118110236227" top="0.78740157480314965" bottom="0.59055118110236227" header="0.31496062992125984" footer="0.31496062992125984"/>
  <pageSetup paperSize="9" scale="7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113E-7CE2-4426-8DC4-F80EF3C154FB}">
  <sheetPr>
    <tabColor rgb="FFFFFF00"/>
    <pageSetUpPr fitToPage="1"/>
  </sheetPr>
  <dimension ref="B1:AC44"/>
  <sheetViews>
    <sheetView view="pageBreakPreview" zoomScale="90" zoomScaleNormal="100" zoomScaleSheetLayoutView="90" workbookViewId="0">
      <selection activeCell="R13" sqref="R13"/>
    </sheetView>
  </sheetViews>
  <sheetFormatPr baseColWidth="10" defaultColWidth="12.6640625" defaultRowHeight="15" customHeight="1" x14ac:dyDescent="0.25"/>
  <cols>
    <col min="1" max="1" width="1.6640625" style="103" customWidth="1"/>
    <col min="2" max="2" width="15.6640625" style="104" customWidth="1"/>
    <col min="3" max="3" width="45.6640625" style="103" customWidth="1"/>
    <col min="4" max="4" width="8.6640625" style="103" customWidth="1"/>
    <col min="5" max="5" width="13.6640625" style="103" customWidth="1"/>
    <col min="6" max="6" width="0.88671875" style="103" customWidth="1"/>
    <col min="7" max="8" width="12.6640625" style="103" customWidth="1"/>
    <col min="9" max="9" width="0.88671875" style="103" customWidth="1"/>
    <col min="10" max="11" width="12.6640625" style="122" customWidth="1"/>
    <col min="12" max="12" width="0.88671875" style="122" customWidth="1"/>
    <col min="13" max="14" width="12.6640625" style="103" customWidth="1"/>
    <col min="15" max="15" width="0.88671875" style="103" customWidth="1"/>
    <col min="16" max="17" width="12.6640625" style="103" customWidth="1"/>
    <col min="18" max="18" width="1.6640625" style="103" customWidth="1"/>
    <col min="19" max="19" width="12.6640625" style="103"/>
    <col min="20" max="21" width="12.6640625" style="105"/>
    <col min="22" max="16384" width="12.6640625" style="103"/>
  </cols>
  <sheetData>
    <row r="1" spans="2:29" s="185" customFormat="1" ht="30" customHeight="1" thickBot="1" x14ac:dyDescent="0.3">
      <c r="B1" s="714" t="s">
        <v>603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6"/>
      <c r="R1" s="153"/>
      <c r="S1" s="141"/>
      <c r="T1" s="141"/>
      <c r="U1" s="141"/>
      <c r="V1" s="141"/>
      <c r="W1" s="141"/>
      <c r="X1" s="182"/>
      <c r="Y1" s="183"/>
      <c r="Z1" s="184"/>
      <c r="AA1" s="182"/>
      <c r="AB1" s="182"/>
      <c r="AC1" s="182"/>
    </row>
    <row r="2" spans="2:29" s="185" customFormat="1" ht="30" customHeight="1" x14ac:dyDescent="0.25">
      <c r="B2" s="520" t="str">
        <f>+FT!E20</f>
        <v>CONTRATO DE EJECUCIÓN DE OBRA N°004-2026-MDPM/GM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186"/>
      <c r="S2" s="187"/>
      <c r="T2" s="187"/>
      <c r="U2" s="187"/>
      <c r="V2" s="187"/>
      <c r="W2" s="187"/>
      <c r="X2" s="182"/>
      <c r="Y2" s="183"/>
      <c r="Z2" s="184"/>
      <c r="AA2" s="182"/>
      <c r="AB2" s="182"/>
      <c r="AC2" s="182"/>
    </row>
    <row r="3" spans="2:29" s="185" customFormat="1" ht="15" customHeight="1" x14ac:dyDescent="0.25">
      <c r="B3" s="188" t="s">
        <v>586</v>
      </c>
      <c r="C3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106"/>
      <c r="T3" s="106"/>
      <c r="U3" s="106"/>
      <c r="V3" s="106"/>
      <c r="W3" s="106"/>
      <c r="X3" s="182"/>
      <c r="Y3" s="183"/>
      <c r="Z3" s="184"/>
      <c r="AA3" s="182"/>
      <c r="AB3" s="182"/>
      <c r="AC3" s="182"/>
    </row>
    <row r="4" spans="2:29" s="185" customFormat="1" ht="15" customHeight="1" x14ac:dyDescent="0.25">
      <c r="B4" s="236" t="s">
        <v>587</v>
      </c>
      <c r="C4" s="106" t="str">
        <f>+FT!$E$4</f>
        <v>MUNICIPALIDAD DISTRITAL DE PILLCO MARCA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82"/>
      <c r="Y4" s="183"/>
      <c r="Z4" s="184"/>
      <c r="AA4" s="182"/>
      <c r="AB4" s="182"/>
      <c r="AC4" s="182"/>
    </row>
    <row r="5" spans="2:29" s="185" customFormat="1" ht="15" customHeight="1" x14ac:dyDescent="0.25">
      <c r="B5" s="236" t="s">
        <v>583</v>
      </c>
      <c r="C5" s="103" t="str">
        <f>+FT!$E$15</f>
        <v>CONSORCIO EJECUTOR LOS PINOS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82"/>
      <c r="Y5" s="183"/>
      <c r="Z5" s="184"/>
      <c r="AA5" s="182"/>
      <c r="AB5" s="182"/>
      <c r="AC5" s="182"/>
    </row>
    <row r="6" spans="2:29" s="185" customFormat="1" ht="15" customHeight="1" x14ac:dyDescent="0.25">
      <c r="B6" s="236" t="s">
        <v>630</v>
      </c>
      <c r="C6" s="103" t="str">
        <f>+FT!$E$34</f>
        <v>PROYECTA PCL S.A.C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82"/>
      <c r="Y6" s="183"/>
      <c r="Z6" s="184"/>
      <c r="AA6" s="182"/>
      <c r="AB6" s="182"/>
      <c r="AC6" s="182"/>
    </row>
    <row r="7" spans="2:29" s="185" customFormat="1" ht="15" customHeight="1" x14ac:dyDescent="0.25">
      <c r="B7" s="236" t="s">
        <v>588</v>
      </c>
      <c r="C7" s="103" t="str">
        <f>+FT!$E$32</f>
        <v>ING. RAMIREZ BLANCO GABRIEL AUGUSTO HERMOGENES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82"/>
      <c r="Y7" s="183"/>
      <c r="Z7" s="184"/>
      <c r="AA7" s="182"/>
      <c r="AB7" s="182"/>
      <c r="AC7" s="182"/>
    </row>
    <row r="8" spans="2:29" s="185" customFormat="1" ht="15" customHeight="1" x14ac:dyDescent="0.25">
      <c r="B8" s="786" t="s">
        <v>631</v>
      </c>
      <c r="C8" s="156" t="str">
        <f>+FT!$E$46</f>
        <v>ING. CESAR RICARDO ZELADA RODRIGUEZ (CIP N°
98469)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06"/>
      <c r="S8" s="106"/>
      <c r="T8" s="106"/>
      <c r="U8" s="106"/>
      <c r="V8" s="106"/>
      <c r="W8" s="106"/>
      <c r="X8" s="182"/>
      <c r="Y8" s="183"/>
      <c r="Z8" s="184"/>
      <c r="AA8" s="182"/>
      <c r="AB8" s="182"/>
      <c r="AC8" s="182"/>
    </row>
    <row r="9" spans="2:29" s="105" customFormat="1" ht="7.5" customHeight="1" thickBot="1" x14ac:dyDescent="0.3">
      <c r="B9" s="104"/>
      <c r="C9" s="104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04"/>
      <c r="O9" s="104"/>
      <c r="P9" s="104"/>
      <c r="Q9" s="104"/>
      <c r="R9" s="103"/>
      <c r="S9" s="103"/>
      <c r="V9" s="103"/>
    </row>
    <row r="10" spans="2:29" s="236" customFormat="1" ht="15" customHeight="1" x14ac:dyDescent="0.25">
      <c r="B10" s="731" t="s">
        <v>117</v>
      </c>
      <c r="C10" s="732" t="s">
        <v>57</v>
      </c>
      <c r="D10" s="732"/>
      <c r="E10" s="825" t="s">
        <v>209</v>
      </c>
      <c r="F10" s="811"/>
      <c r="G10" s="665" t="s">
        <v>160</v>
      </c>
      <c r="H10" s="667"/>
      <c r="I10" s="313"/>
      <c r="J10" s="829" t="s">
        <v>163</v>
      </c>
      <c r="K10" s="830"/>
      <c r="L10" s="313"/>
      <c r="M10" s="665" t="s">
        <v>161</v>
      </c>
      <c r="N10" s="667"/>
      <c r="O10" s="313"/>
      <c r="P10" s="832" t="s">
        <v>0</v>
      </c>
      <c r="Q10" s="833"/>
      <c r="S10" s="814"/>
      <c r="T10" s="815"/>
      <c r="U10" s="815"/>
    </row>
    <row r="11" spans="2:29" s="236" customFormat="1" ht="15" customHeight="1" thickBot="1" x14ac:dyDescent="0.3">
      <c r="B11" s="826"/>
      <c r="C11" s="827"/>
      <c r="D11" s="827"/>
      <c r="E11" s="828"/>
      <c r="F11" s="811"/>
      <c r="G11" s="822" t="s">
        <v>104</v>
      </c>
      <c r="H11" s="670" t="s">
        <v>19</v>
      </c>
      <c r="I11" s="313"/>
      <c r="J11" s="831" t="s">
        <v>104</v>
      </c>
      <c r="K11" s="678" t="s">
        <v>19</v>
      </c>
      <c r="L11" s="313"/>
      <c r="M11" s="822" t="s">
        <v>104</v>
      </c>
      <c r="N11" s="670" t="s">
        <v>19</v>
      </c>
      <c r="O11" s="313"/>
      <c r="P11" s="834" t="s">
        <v>151</v>
      </c>
      <c r="Q11" s="835" t="s">
        <v>19</v>
      </c>
      <c r="T11" s="815"/>
      <c r="U11" s="815"/>
    </row>
    <row r="12" spans="2:29" s="191" customFormat="1" ht="15" customHeight="1" x14ac:dyDescent="0.25">
      <c r="B12" s="816" t="str">
        <f>+'VAL. MENSUAL'!B13</f>
        <v>01.01</v>
      </c>
      <c r="C12" s="817" t="str">
        <f>+'VAL. MENSUAL'!C13</f>
        <v>OBRAS PROVISIONALES Y TRABAJOS PRELIMINARES</v>
      </c>
      <c r="D12" s="818"/>
      <c r="E12" s="819">
        <f>SUM('VAL. MENSUAL'!G13:G27)</f>
        <v>24540.720000000001</v>
      </c>
      <c r="F12" s="189"/>
      <c r="G12" s="820">
        <f>ROUND(H12/$E12,4)</f>
        <v>0.86760000000000004</v>
      </c>
      <c r="H12" s="821">
        <f>SUM('VAL. MENSUAL'!J13:J27)</f>
        <v>21290.720000000001</v>
      </c>
      <c r="I12" s="189"/>
      <c r="J12" s="820">
        <f>ROUND(K12/$E12,4)</f>
        <v>6.3600000000000004E-2</v>
      </c>
      <c r="K12" s="821">
        <f>SUM('VAL. MENSUAL'!N13:N27)</f>
        <v>1560</v>
      </c>
      <c r="L12" s="189"/>
      <c r="M12" s="820">
        <f>+G12+J12</f>
        <v>0.93120000000000003</v>
      </c>
      <c r="N12" s="821">
        <f>H12+K12</f>
        <v>22850.720000000001</v>
      </c>
      <c r="O12" s="189"/>
      <c r="P12" s="820">
        <f>1-M12</f>
        <v>6.8799999999999972E-2</v>
      </c>
      <c r="Q12" s="821">
        <f>E12-N12</f>
        <v>1690</v>
      </c>
      <c r="R12" s="190"/>
      <c r="T12" s="192"/>
      <c r="U12" s="192"/>
    </row>
    <row r="13" spans="2:29" s="191" customFormat="1" ht="15" customHeight="1" x14ac:dyDescent="0.25">
      <c r="B13" s="203" t="str">
        <f>+'VAL. MENSUAL'!B28</f>
        <v>01.02</v>
      </c>
      <c r="C13" s="206" t="str">
        <f>+'VAL. MENSUAL'!C28</f>
        <v>PAVIMENTO RIGIDO</v>
      </c>
      <c r="D13" s="208"/>
      <c r="E13" s="204">
        <f>SUM('VAL. MENSUAL'!G28:G51)</f>
        <v>195936.33</v>
      </c>
      <c r="F13" s="189"/>
      <c r="G13" s="198">
        <f t="shared" ref="G13:G19" si="0">ROUND(H13/$E13,4)</f>
        <v>0.97370000000000001</v>
      </c>
      <c r="H13" s="197">
        <f>SUM('VAL. MENSUAL'!J28:J51)</f>
        <v>190783.91999999998</v>
      </c>
      <c r="I13" s="189"/>
      <c r="J13" s="198">
        <f t="shared" ref="J13:J19" si="1">ROUND(K13/$E13,4)</f>
        <v>0</v>
      </c>
      <c r="K13" s="197">
        <f>SUM('VAL. MENSUAL'!N28:N51)</f>
        <v>0</v>
      </c>
      <c r="L13" s="189"/>
      <c r="M13" s="198">
        <f t="shared" ref="M13:M24" si="2">+G13+J13</f>
        <v>0.97370000000000001</v>
      </c>
      <c r="N13" s="197">
        <f t="shared" ref="N13:N24" si="3">H13+K13</f>
        <v>190783.91999999998</v>
      </c>
      <c r="O13" s="189"/>
      <c r="P13" s="198">
        <f t="shared" ref="P13:P24" si="4">1-M13</f>
        <v>2.629999999999999E-2</v>
      </c>
      <c r="Q13" s="197">
        <f t="shared" ref="Q13:Q24" si="5">E13-N13</f>
        <v>5152.4100000000035</v>
      </c>
      <c r="R13" s="190"/>
      <c r="T13" s="192"/>
      <c r="U13" s="192"/>
    </row>
    <row r="14" spans="2:29" s="191" customFormat="1" ht="15" customHeight="1" x14ac:dyDescent="0.25">
      <c r="B14" s="203" t="str">
        <f>+'VAL. MENSUAL'!B52</f>
        <v>01.03</v>
      </c>
      <c r="C14" s="206" t="str">
        <f>+'VAL. MENSUAL'!C52</f>
        <v xml:space="preserve">VEREDAS, RAMPAS Y MARTILLOS </v>
      </c>
      <c r="D14" s="208"/>
      <c r="E14" s="204">
        <f>SUM('VAL. MENSUAL'!G52:G77)</f>
        <v>81286.849999999991</v>
      </c>
      <c r="F14" s="189"/>
      <c r="G14" s="198">
        <f t="shared" si="0"/>
        <v>0.37380000000000002</v>
      </c>
      <c r="H14" s="197">
        <f>SUM('VAL. MENSUAL'!J52:J77)</f>
        <v>30386.060000000005</v>
      </c>
      <c r="I14" s="189"/>
      <c r="J14" s="198">
        <f t="shared" si="1"/>
        <v>0.62619999999999998</v>
      </c>
      <c r="K14" s="197">
        <f>SUM('VAL. MENSUAL'!N52:N77)</f>
        <v>50900.789999999994</v>
      </c>
      <c r="L14" s="189"/>
      <c r="M14" s="198">
        <f t="shared" si="2"/>
        <v>1</v>
      </c>
      <c r="N14" s="197">
        <f t="shared" si="3"/>
        <v>81286.850000000006</v>
      </c>
      <c r="O14" s="189"/>
      <c r="P14" s="198">
        <f t="shared" si="4"/>
        <v>0</v>
      </c>
      <c r="Q14" s="197">
        <f t="shared" si="5"/>
        <v>0</v>
      </c>
      <c r="R14" s="190"/>
      <c r="T14" s="192"/>
      <c r="U14" s="192"/>
    </row>
    <row r="15" spans="2:29" s="191" customFormat="1" ht="15" customHeight="1" x14ac:dyDescent="0.25">
      <c r="B15" s="203" t="str">
        <f>+'VAL. MENSUAL'!B78</f>
        <v>01.04</v>
      </c>
      <c r="C15" s="206" t="str">
        <f>+'VAL. MENSUAL'!C78</f>
        <v>CUNETA PLUVIAL</v>
      </c>
      <c r="D15" s="208"/>
      <c r="E15" s="204">
        <f>SUM('VAL. MENSUAL'!G78:G89)</f>
        <v>22284.829999999998</v>
      </c>
      <c r="F15" s="189"/>
      <c r="G15" s="198">
        <f t="shared" si="0"/>
        <v>0</v>
      </c>
      <c r="H15" s="197">
        <f>SUM('VAL. MENSUAL'!J78:J89)</f>
        <v>0</v>
      </c>
      <c r="I15" s="189"/>
      <c r="J15" s="198">
        <f t="shared" si="1"/>
        <v>1</v>
      </c>
      <c r="K15" s="197">
        <f>SUM('VAL. MENSUAL'!N78:N89)</f>
        <v>22284.829999999998</v>
      </c>
      <c r="L15" s="189"/>
      <c r="M15" s="198">
        <f t="shared" si="2"/>
        <v>1</v>
      </c>
      <c r="N15" s="197">
        <f t="shared" si="3"/>
        <v>22284.829999999998</v>
      </c>
      <c r="O15" s="189"/>
      <c r="P15" s="198">
        <f t="shared" si="4"/>
        <v>0</v>
      </c>
      <c r="Q15" s="197">
        <f t="shared" si="5"/>
        <v>0</v>
      </c>
      <c r="R15" s="190"/>
      <c r="T15" s="192"/>
      <c r="U15" s="192"/>
    </row>
    <row r="16" spans="2:29" s="191" customFormat="1" ht="15" customHeight="1" x14ac:dyDescent="0.25">
      <c r="B16" s="203" t="str">
        <f>+'VAL. MENSUAL'!B90</f>
        <v>01.05</v>
      </c>
      <c r="C16" s="206" t="str">
        <f>+'VAL. MENSUAL'!C90</f>
        <v>SARDINELES DE CONCRETO</v>
      </c>
      <c r="D16" s="208"/>
      <c r="E16" s="204">
        <f>SUM('VAL. MENSUAL'!G90:G101)</f>
        <v>41213.67</v>
      </c>
      <c r="F16" s="189"/>
      <c r="G16" s="198">
        <f t="shared" si="0"/>
        <v>0</v>
      </c>
      <c r="H16" s="197">
        <f>SUM('VAL. MENSUAL'!J90:J101)</f>
        <v>0</v>
      </c>
      <c r="I16" s="189"/>
      <c r="J16" s="198">
        <f t="shared" si="1"/>
        <v>1</v>
      </c>
      <c r="K16" s="197">
        <f>SUM('VAL. MENSUAL'!N90:N101)</f>
        <v>41213.67</v>
      </c>
      <c r="L16" s="189"/>
      <c r="M16" s="198">
        <f t="shared" si="2"/>
        <v>1</v>
      </c>
      <c r="N16" s="197">
        <f t="shared" si="3"/>
        <v>41213.67</v>
      </c>
      <c r="O16" s="189"/>
      <c r="P16" s="198">
        <f t="shared" si="4"/>
        <v>0</v>
      </c>
      <c r="Q16" s="197">
        <f t="shared" si="5"/>
        <v>0</v>
      </c>
      <c r="R16" s="190"/>
      <c r="T16" s="192"/>
      <c r="U16" s="192"/>
    </row>
    <row r="17" spans="2:21" s="191" customFormat="1" ht="15" customHeight="1" x14ac:dyDescent="0.25">
      <c r="B17" s="203" t="str">
        <f>+'VAL. MENSUAL'!B102</f>
        <v>01.06</v>
      </c>
      <c r="C17" s="206" t="str">
        <f>+'VAL. MENSUAL'!C102</f>
        <v>MURO DE CONTENCION</v>
      </c>
      <c r="D17" s="208"/>
      <c r="E17" s="204">
        <f>SUM('VAL. MENSUAL'!G102:G122)</f>
        <v>18738.919999999998</v>
      </c>
      <c r="F17" s="189"/>
      <c r="G17" s="198">
        <f t="shared" si="0"/>
        <v>0</v>
      </c>
      <c r="H17" s="197">
        <f>SUM('VAL. MENSUAL'!J102:J122)</f>
        <v>0</v>
      </c>
      <c r="I17" s="189"/>
      <c r="J17" s="198">
        <f t="shared" si="1"/>
        <v>1</v>
      </c>
      <c r="K17" s="197">
        <f>SUM('VAL. MENSUAL'!N102:N122)</f>
        <v>18738.919999999998</v>
      </c>
      <c r="L17" s="189"/>
      <c r="M17" s="198">
        <f t="shared" si="2"/>
        <v>1</v>
      </c>
      <c r="N17" s="197">
        <f t="shared" si="3"/>
        <v>18738.919999999998</v>
      </c>
      <c r="O17" s="189"/>
      <c r="P17" s="198">
        <f t="shared" si="4"/>
        <v>0</v>
      </c>
      <c r="Q17" s="197">
        <f t="shared" si="5"/>
        <v>0</v>
      </c>
      <c r="R17" s="190"/>
      <c r="T17" s="192"/>
      <c r="U17" s="192"/>
    </row>
    <row r="18" spans="2:21" s="191" customFormat="1" ht="15" customHeight="1" x14ac:dyDescent="0.25">
      <c r="B18" s="203" t="str">
        <f>+'VAL. MENSUAL'!B123</f>
        <v>01.07</v>
      </c>
      <c r="C18" s="206" t="str">
        <f>+'VAL. MENSUAL'!C123</f>
        <v>GRADERIAS</v>
      </c>
      <c r="D18" s="208"/>
      <c r="E18" s="204">
        <f>SUM('VAL. MENSUAL'!G123:G133)</f>
        <v>6001.05</v>
      </c>
      <c r="F18" s="189"/>
      <c r="G18" s="198">
        <f t="shared" si="0"/>
        <v>0.37169999999999997</v>
      </c>
      <c r="H18" s="197">
        <f>SUM('VAL. MENSUAL'!J123:J133)</f>
        <v>2230.7600000000002</v>
      </c>
      <c r="I18" s="189"/>
      <c r="J18" s="198">
        <f t="shared" si="1"/>
        <v>0.62829999999999997</v>
      </c>
      <c r="K18" s="197">
        <f>SUM('VAL. MENSUAL'!N123:N133)</f>
        <v>3770.29</v>
      </c>
      <c r="L18" s="189"/>
      <c r="M18" s="198">
        <f t="shared" si="2"/>
        <v>1</v>
      </c>
      <c r="N18" s="197">
        <f t="shared" si="3"/>
        <v>6001.05</v>
      </c>
      <c r="O18" s="189"/>
      <c r="P18" s="198">
        <f t="shared" si="4"/>
        <v>0</v>
      </c>
      <c r="Q18" s="197">
        <f t="shared" si="5"/>
        <v>0</v>
      </c>
      <c r="R18" s="190"/>
      <c r="T18" s="192"/>
      <c r="U18" s="192"/>
    </row>
    <row r="19" spans="2:21" s="191" customFormat="1" ht="15" customHeight="1" x14ac:dyDescent="0.25">
      <c r="B19" s="203" t="str">
        <f>+'VAL. MENSUAL'!B134</f>
        <v>01.08</v>
      </c>
      <c r="C19" s="206" t="str">
        <f>+'VAL. MENSUAL'!C134</f>
        <v>JARDINERIA</v>
      </c>
      <c r="D19" s="208"/>
      <c r="E19" s="204">
        <f>SUM('VAL. MENSUAL'!G134:G136)</f>
        <v>18254.61</v>
      </c>
      <c r="F19" s="189"/>
      <c r="G19" s="198">
        <f t="shared" si="0"/>
        <v>0</v>
      </c>
      <c r="H19" s="197">
        <f>SUM('VAL. MENSUAL'!J134:J136)</f>
        <v>0</v>
      </c>
      <c r="I19" s="189"/>
      <c r="J19" s="198">
        <f t="shared" si="1"/>
        <v>1</v>
      </c>
      <c r="K19" s="197">
        <f>SUM('VAL. MENSUAL'!N134:N136)</f>
        <v>18254.61</v>
      </c>
      <c r="L19" s="189"/>
      <c r="M19" s="198">
        <f t="shared" si="2"/>
        <v>1</v>
      </c>
      <c r="N19" s="197">
        <f t="shared" si="3"/>
        <v>18254.61</v>
      </c>
      <c r="O19" s="189"/>
      <c r="P19" s="198">
        <f t="shared" si="4"/>
        <v>0</v>
      </c>
      <c r="Q19" s="197">
        <f t="shared" si="5"/>
        <v>0</v>
      </c>
      <c r="R19" s="190"/>
      <c r="T19" s="192"/>
      <c r="U19" s="192"/>
    </row>
    <row r="20" spans="2:21" s="191" customFormat="1" ht="15" customHeight="1" x14ac:dyDescent="0.25">
      <c r="B20" s="203" t="str">
        <f>+'VAL. MENSUAL'!B137</f>
        <v>01.09</v>
      </c>
      <c r="C20" s="206" t="str">
        <f>+'VAL. MENSUAL'!C137</f>
        <v>PLANTAS DECORATIVAS</v>
      </c>
      <c r="D20" s="208"/>
      <c r="E20" s="204">
        <f>SUM('VAL. MENSUAL'!G137:G138)</f>
        <v>1224</v>
      </c>
      <c r="F20" s="189"/>
      <c r="G20" s="469"/>
      <c r="H20" s="197">
        <f>SUM('VAL. MENSUAL'!J137:J138)</f>
        <v>0</v>
      </c>
      <c r="I20" s="189"/>
      <c r="J20" s="469"/>
      <c r="K20" s="197">
        <f>SUM('VAL. MENSUAL'!N137:N138)</f>
        <v>1224</v>
      </c>
      <c r="L20" s="189"/>
      <c r="M20" s="198">
        <f t="shared" si="2"/>
        <v>0</v>
      </c>
      <c r="N20" s="197">
        <f t="shared" si="3"/>
        <v>1224</v>
      </c>
      <c r="O20" s="189"/>
      <c r="P20" s="198">
        <f t="shared" si="4"/>
        <v>1</v>
      </c>
      <c r="Q20" s="197">
        <f t="shared" si="5"/>
        <v>0</v>
      </c>
      <c r="R20" s="190"/>
      <c r="T20" s="192"/>
      <c r="U20" s="192"/>
    </row>
    <row r="21" spans="2:21" s="191" customFormat="1" ht="15" customHeight="1" x14ac:dyDescent="0.25">
      <c r="B21" s="203" t="str">
        <f>+'VAL. MENSUAL'!B139</f>
        <v>01.10</v>
      </c>
      <c r="C21" s="206" t="str">
        <f>+'VAL. MENSUAL'!C139</f>
        <v>OTROS</v>
      </c>
      <c r="D21" s="208"/>
      <c r="E21" s="204">
        <f>SUM('VAL. MENSUAL'!G139:G140)</f>
        <v>10200</v>
      </c>
      <c r="F21" s="189"/>
      <c r="G21" s="469"/>
      <c r="H21" s="197">
        <f>SUM('VAL. MENSUAL'!J139:J140)</f>
        <v>10200</v>
      </c>
      <c r="I21" s="189"/>
      <c r="J21" s="469"/>
      <c r="K21" s="197">
        <f>SUM('VAL. MENSUAL'!N139:N140)</f>
        <v>0</v>
      </c>
      <c r="L21" s="189"/>
      <c r="M21" s="198">
        <f t="shared" si="2"/>
        <v>0</v>
      </c>
      <c r="N21" s="197">
        <f t="shared" si="3"/>
        <v>10200</v>
      </c>
      <c r="O21" s="189"/>
      <c r="P21" s="198">
        <f t="shared" si="4"/>
        <v>1</v>
      </c>
      <c r="Q21" s="197">
        <f t="shared" si="5"/>
        <v>0</v>
      </c>
      <c r="R21" s="190"/>
      <c r="T21" s="192"/>
      <c r="U21" s="192"/>
    </row>
    <row r="22" spans="2:21" s="191" customFormat="1" ht="15" customHeight="1" x14ac:dyDescent="0.25">
      <c r="B22" s="203" t="str">
        <f>+'VAL. MENSUAL'!B141</f>
        <v>01.11</v>
      </c>
      <c r="C22" s="206" t="str">
        <f>+'VAL. MENSUAL'!C141</f>
        <v>SEGURIDAD Y SALUD</v>
      </c>
      <c r="D22" s="208"/>
      <c r="E22" s="204">
        <f>SUM('VAL. MENSUAL'!F141:F146)</f>
        <v>18340.560000000001</v>
      </c>
      <c r="F22" s="189"/>
      <c r="G22" s="469"/>
      <c r="H22" s="197">
        <f>SUM('VAL. MENSUAL'!I141:I146)</f>
        <v>4.3</v>
      </c>
      <c r="I22" s="189"/>
      <c r="J22" s="469"/>
      <c r="K22" s="197">
        <f>SUM('VAL. MENSUAL'!N141:N146)</f>
        <v>840</v>
      </c>
      <c r="L22" s="189"/>
      <c r="M22" s="198">
        <f t="shared" si="2"/>
        <v>0</v>
      </c>
      <c r="N22" s="197">
        <f t="shared" si="3"/>
        <v>844.3</v>
      </c>
      <c r="O22" s="189"/>
      <c r="P22" s="198">
        <f t="shared" si="4"/>
        <v>1</v>
      </c>
      <c r="Q22" s="197">
        <f t="shared" si="5"/>
        <v>17496.260000000002</v>
      </c>
      <c r="R22" s="190"/>
      <c r="T22" s="192"/>
      <c r="U22" s="192"/>
    </row>
    <row r="23" spans="2:21" s="191" customFormat="1" ht="15" customHeight="1" x14ac:dyDescent="0.25">
      <c r="B23" s="203" t="str">
        <f>+'VAL. MENSUAL'!B147</f>
        <v>01.12</v>
      </c>
      <c r="C23" s="206" t="str">
        <f>+'VAL. MENSUAL'!C147</f>
        <v>FLETE</v>
      </c>
      <c r="D23" s="208"/>
      <c r="E23" s="204">
        <f>SUM('VAL. MENSUAL'!G147:G148)</f>
        <v>6023</v>
      </c>
      <c r="F23" s="189"/>
      <c r="G23" s="469"/>
      <c r="H23" s="197">
        <f>SUM('VAL. MENSUAL'!J147:J148)</f>
        <v>6023</v>
      </c>
      <c r="I23" s="189"/>
      <c r="J23" s="469"/>
      <c r="K23" s="197">
        <f>SUM('VAL. MENSUAL'!N147:N148)</f>
        <v>0</v>
      </c>
      <c r="L23" s="189"/>
      <c r="M23" s="198">
        <f t="shared" si="2"/>
        <v>0</v>
      </c>
      <c r="N23" s="197">
        <f t="shared" si="3"/>
        <v>6023</v>
      </c>
      <c r="O23" s="189"/>
      <c r="P23" s="198">
        <f t="shared" si="4"/>
        <v>1</v>
      </c>
      <c r="Q23" s="197">
        <f t="shared" si="5"/>
        <v>0</v>
      </c>
      <c r="R23" s="190"/>
      <c r="T23" s="192"/>
      <c r="U23" s="192"/>
    </row>
    <row r="24" spans="2:21" s="191" customFormat="1" ht="15" customHeight="1" x14ac:dyDescent="0.25">
      <c r="B24" s="205" t="str">
        <f>+'VAL. MENSUAL'!B149</f>
        <v>01.13</v>
      </c>
      <c r="C24" s="207" t="str">
        <f>+'VAL. MENSUAL'!C149</f>
        <v>IMPACTO AMBIENTAL</v>
      </c>
      <c r="D24" s="209"/>
      <c r="E24" s="204">
        <f>SUM('VAL. MENSUAL'!G149:G155)</f>
        <v>18672.730000000003</v>
      </c>
      <c r="F24" s="189"/>
      <c r="G24" s="469"/>
      <c r="H24" s="197">
        <f>SUM('VAL. MENSUAL'!J149:J155)</f>
        <v>12903.65</v>
      </c>
      <c r="I24" s="189"/>
      <c r="J24" s="469"/>
      <c r="K24" s="197">
        <f>SUM('VAL. MENSUAL'!N149:N155)</f>
        <v>3605</v>
      </c>
      <c r="L24" s="189"/>
      <c r="M24" s="198">
        <f t="shared" si="2"/>
        <v>0</v>
      </c>
      <c r="N24" s="197">
        <f t="shared" si="3"/>
        <v>16508.650000000001</v>
      </c>
      <c r="O24" s="189"/>
      <c r="P24" s="198">
        <f t="shared" si="4"/>
        <v>1</v>
      </c>
      <c r="Q24" s="197">
        <f t="shared" si="5"/>
        <v>2164.0800000000017</v>
      </c>
      <c r="R24" s="190"/>
      <c r="T24" s="192"/>
      <c r="U24" s="192"/>
    </row>
    <row r="25" spans="2:21" s="191" customFormat="1" ht="15" customHeight="1" x14ac:dyDescent="0.25">
      <c r="B25" s="201"/>
      <c r="C25" s="210" t="s">
        <v>4</v>
      </c>
      <c r="D25" s="211"/>
      <c r="E25" s="199">
        <f>ROUND(SUM(E12:E24),2)</f>
        <v>462717.27</v>
      </c>
      <c r="F25" s="193"/>
      <c r="G25" s="522">
        <f>+H31</f>
        <v>0.62719999999999998</v>
      </c>
      <c r="H25" s="199">
        <f>+'VAL. MENSUAL'!J157</f>
        <v>290198.67</v>
      </c>
      <c r="I25" s="193"/>
      <c r="J25" s="522">
        <f>+K31</f>
        <v>0.35099999999999998</v>
      </c>
      <c r="K25" s="199">
        <f>ROUND(SUM(K12:K24),2)</f>
        <v>162392.10999999999</v>
      </c>
      <c r="L25" s="193"/>
      <c r="M25" s="522">
        <f>+N31</f>
        <v>0.97819999999999996</v>
      </c>
      <c r="N25" s="199">
        <f>ROUND(H25+K25,2)</f>
        <v>452590.78</v>
      </c>
      <c r="O25" s="193"/>
      <c r="P25" s="522">
        <f>+Q31</f>
        <v>2.18E-2</v>
      </c>
      <c r="Q25" s="199">
        <f>ROUND(E25-N25,2)</f>
        <v>10126.49</v>
      </c>
      <c r="R25" s="190"/>
      <c r="T25" s="192"/>
      <c r="U25" s="192"/>
    </row>
    <row r="26" spans="2:21" s="191" customFormat="1" ht="15" customHeight="1" x14ac:dyDescent="0.25">
      <c r="B26" s="180"/>
      <c r="C26" s="206" t="s">
        <v>41</v>
      </c>
      <c r="D26" s="212">
        <v>0.1</v>
      </c>
      <c r="E26" s="197">
        <f>ROUND($D26*E$25,2)</f>
        <v>46271.73</v>
      </c>
      <c r="F26" s="189"/>
      <c r="G26" s="523"/>
      <c r="H26" s="197">
        <f>+'VAL. MENSUAL'!J158</f>
        <v>29019.87</v>
      </c>
      <c r="I26" s="189"/>
      <c r="J26" s="523"/>
      <c r="K26" s="197">
        <f>ROUND($D26*K$25,2)</f>
        <v>16239.21</v>
      </c>
      <c r="L26" s="189"/>
      <c r="M26" s="523"/>
      <c r="N26" s="197">
        <f t="shared" ref="N26" si="6">ROUND(H26+K26,2)</f>
        <v>45259.08</v>
      </c>
      <c r="O26" s="189"/>
      <c r="P26" s="523"/>
      <c r="Q26" s="197">
        <f>ROUND(E26-N26,2)</f>
        <v>1012.65</v>
      </c>
      <c r="R26" s="190"/>
      <c r="T26" s="192"/>
      <c r="U26" s="192"/>
    </row>
    <row r="27" spans="2:21" s="191" customFormat="1" ht="15" customHeight="1" x14ac:dyDescent="0.25">
      <c r="B27" s="180"/>
      <c r="C27" s="206" t="s">
        <v>99</v>
      </c>
      <c r="D27" s="213">
        <v>7.0000000000000007E-2</v>
      </c>
      <c r="E27" s="197">
        <f>ROUND($D27*E$25,2)</f>
        <v>32390.21</v>
      </c>
      <c r="F27" s="189"/>
      <c r="G27" s="523"/>
      <c r="H27" s="197">
        <f>+'VAL. MENSUAL'!J159</f>
        <v>20313.91</v>
      </c>
      <c r="I27" s="189"/>
      <c r="J27" s="523"/>
      <c r="K27" s="197">
        <f>ROUND($D27*K$25,2)</f>
        <v>11367.45</v>
      </c>
      <c r="L27" s="189"/>
      <c r="M27" s="523"/>
      <c r="N27" s="197">
        <f>ROUND(H27+K27,2)</f>
        <v>31681.360000000001</v>
      </c>
      <c r="O27" s="189"/>
      <c r="P27" s="523"/>
      <c r="Q27" s="197">
        <f>ROUND(E27-N27,2)</f>
        <v>708.85</v>
      </c>
      <c r="R27" s="190"/>
      <c r="T27" s="192"/>
      <c r="U27" s="192"/>
    </row>
    <row r="28" spans="2:21" s="191" customFormat="1" ht="15" customHeight="1" x14ac:dyDescent="0.25">
      <c r="B28" s="180"/>
      <c r="C28" s="214" t="s">
        <v>33</v>
      </c>
      <c r="D28" s="215"/>
      <c r="E28" s="200">
        <f>ROUND(E25+E26+E27,2)</f>
        <v>541379.21</v>
      </c>
      <c r="F28" s="193"/>
      <c r="G28" s="523"/>
      <c r="H28" s="200">
        <f>+'VAL. MENSUAL'!J160</f>
        <v>339532.45</v>
      </c>
      <c r="I28" s="193"/>
      <c r="J28" s="523"/>
      <c r="K28" s="200">
        <f>ROUND(K25+K26+K27,2)</f>
        <v>189998.77</v>
      </c>
      <c r="L28" s="193"/>
      <c r="M28" s="523"/>
      <c r="N28" s="200">
        <f>ROUND(H28+K28,2)</f>
        <v>529531.22</v>
      </c>
      <c r="O28" s="193"/>
      <c r="P28" s="523"/>
      <c r="Q28" s="200">
        <f t="shared" ref="Q28:Q29" si="7">ROUND(E28-N28,2)</f>
        <v>11847.99</v>
      </c>
      <c r="R28" s="190"/>
      <c r="T28" s="192"/>
      <c r="U28" s="192"/>
    </row>
    <row r="29" spans="2:21" s="191" customFormat="1" ht="15" customHeight="1" x14ac:dyDescent="0.25">
      <c r="B29" s="180"/>
      <c r="C29" s="206" t="s">
        <v>142</v>
      </c>
      <c r="D29" s="213">
        <v>0.18</v>
      </c>
      <c r="E29" s="197">
        <f>ROUND($D$29*E28,2)</f>
        <v>97448.26</v>
      </c>
      <c r="F29" s="189"/>
      <c r="G29" s="523"/>
      <c r="H29" s="197">
        <f>+'VAL. MENSUAL'!J161</f>
        <v>61115.839999999997</v>
      </c>
      <c r="I29" s="189"/>
      <c r="J29" s="523"/>
      <c r="K29" s="197">
        <f>ROUND($D$29*K28,2)</f>
        <v>34199.78</v>
      </c>
      <c r="L29" s="189"/>
      <c r="M29" s="523"/>
      <c r="N29" s="197">
        <f>ROUND(H29+K29,2)</f>
        <v>95315.62</v>
      </c>
      <c r="O29" s="189"/>
      <c r="P29" s="523"/>
      <c r="Q29" s="197">
        <f t="shared" si="7"/>
        <v>2132.64</v>
      </c>
      <c r="R29" s="190"/>
      <c r="T29" s="192"/>
      <c r="U29" s="192"/>
    </row>
    <row r="30" spans="2:21" ht="15" customHeight="1" x14ac:dyDescent="0.25">
      <c r="B30" s="202"/>
      <c r="C30" s="216" t="s">
        <v>152</v>
      </c>
      <c r="D30" s="217"/>
      <c r="E30" s="199">
        <f>ROUND(E28+E29,2)</f>
        <v>638827.47</v>
      </c>
      <c r="F30" s="193"/>
      <c r="G30" s="523"/>
      <c r="H30" s="199">
        <f>+'VAL. MENSUAL'!J162</f>
        <v>400648.29</v>
      </c>
      <c r="I30" s="193"/>
      <c r="J30" s="523"/>
      <c r="K30" s="199">
        <f>ROUND(K28+K29,2)</f>
        <v>224198.55</v>
      </c>
      <c r="L30" s="193"/>
      <c r="M30" s="523"/>
      <c r="N30" s="199">
        <f>ROUND(H30+K30,2)</f>
        <v>624846.84</v>
      </c>
      <c r="O30" s="193"/>
      <c r="P30" s="523"/>
      <c r="Q30" s="199">
        <f>ROUND(E30-N30,2)</f>
        <v>13980.63</v>
      </c>
      <c r="R30" s="119"/>
      <c r="S30" s="191"/>
    </row>
    <row r="31" spans="2:21" s="105" customFormat="1" ht="15" customHeight="1" x14ac:dyDescent="0.25">
      <c r="B31" s="196"/>
      <c r="C31" s="218" t="s">
        <v>153</v>
      </c>
      <c r="D31" s="209"/>
      <c r="E31" s="198">
        <f>ROUND(E25/$E$25,4)</f>
        <v>1</v>
      </c>
      <c r="F31" s="194"/>
      <c r="G31" s="524"/>
      <c r="H31" s="198">
        <f>+'VAL. MENSUAL'!J163</f>
        <v>0.62719999999999998</v>
      </c>
      <c r="I31" s="194"/>
      <c r="J31" s="524"/>
      <c r="K31" s="198">
        <f>ROUND(K25/$E$25,4)</f>
        <v>0.35099999999999998</v>
      </c>
      <c r="L31" s="194"/>
      <c r="M31" s="524"/>
      <c r="N31" s="198">
        <f>ROUND(H31+K31,4)</f>
        <v>0.97819999999999996</v>
      </c>
      <c r="O31" s="194"/>
      <c r="P31" s="524"/>
      <c r="Q31" s="198">
        <f>ROUND(E31-N31,4)</f>
        <v>2.18E-2</v>
      </c>
      <c r="S31" s="191"/>
    </row>
    <row r="32" spans="2:21" ht="15" customHeight="1" x14ac:dyDescent="0.25">
      <c r="S32" s="191"/>
    </row>
    <row r="33" spans="2:22" ht="15" customHeight="1" x14ac:dyDescent="0.25">
      <c r="J33" s="103"/>
      <c r="K33" s="103"/>
      <c r="L33" s="103"/>
      <c r="T33" s="103"/>
    </row>
    <row r="34" spans="2:22" s="105" customFormat="1" ht="15" customHeight="1" x14ac:dyDescent="0.25">
      <c r="B34" s="104"/>
      <c r="C34" s="103"/>
      <c r="D34" s="103"/>
      <c r="E34" s="103"/>
      <c r="F34" s="103"/>
      <c r="G34" s="103"/>
      <c r="H34" s="103"/>
      <c r="I34" s="103"/>
      <c r="J34" s="122"/>
      <c r="K34" s="122"/>
      <c r="L34" s="122"/>
      <c r="M34" s="103"/>
      <c r="N34" s="103"/>
      <c r="O34" s="103"/>
      <c r="P34" s="103"/>
      <c r="Q34" s="103"/>
      <c r="R34" s="103"/>
      <c r="S34" s="191"/>
      <c r="V34" s="103"/>
    </row>
    <row r="35" spans="2:22" s="105" customFormat="1" ht="15" customHeight="1" x14ac:dyDescent="0.25">
      <c r="B35" s="104"/>
      <c r="C35" s="103"/>
      <c r="D35" s="103"/>
      <c r="E35" s="103"/>
      <c r="F35" s="103"/>
      <c r="G35" s="103"/>
      <c r="H35" s="195"/>
      <c r="I35" s="195"/>
      <c r="J35" s="122"/>
      <c r="K35" s="122"/>
      <c r="L35" s="122"/>
      <c r="M35" s="103"/>
      <c r="N35" s="103"/>
      <c r="O35" s="103"/>
      <c r="P35" s="103"/>
      <c r="Q35" s="103"/>
      <c r="R35" s="103"/>
      <c r="S35" s="191"/>
      <c r="V35" s="103"/>
    </row>
    <row r="36" spans="2:22" s="105" customFormat="1" ht="15" customHeight="1" x14ac:dyDescent="0.25">
      <c r="B36" s="104"/>
      <c r="C36" s="103"/>
      <c r="D36" s="103"/>
      <c r="E36" s="103"/>
      <c r="F36" s="103"/>
      <c r="G36" s="103"/>
      <c r="H36" s="103"/>
      <c r="I36" s="103"/>
      <c r="J36" s="122"/>
      <c r="K36" s="122"/>
      <c r="L36" s="122"/>
      <c r="M36" s="103"/>
      <c r="N36" s="103"/>
      <c r="O36" s="103"/>
      <c r="P36" s="103"/>
      <c r="Q36" s="103"/>
      <c r="R36" s="103"/>
      <c r="S36" s="103"/>
      <c r="V36" s="103"/>
    </row>
    <row r="37" spans="2:22" s="105" customFormat="1" ht="15" customHeight="1" x14ac:dyDescent="0.25">
      <c r="B37" s="104"/>
      <c r="C37" s="103"/>
      <c r="D37" s="103"/>
      <c r="E37" s="103"/>
      <c r="F37" s="103"/>
      <c r="Q37" s="103"/>
      <c r="R37" s="103"/>
      <c r="S37" s="103"/>
      <c r="V37" s="103"/>
    </row>
    <row r="40" spans="2:22" ht="15" customHeight="1" x14ac:dyDescent="0.25">
      <c r="J40" s="103"/>
      <c r="K40" s="103"/>
      <c r="L40" s="103"/>
    </row>
    <row r="41" spans="2:22" ht="15" customHeight="1" x14ac:dyDescent="0.25">
      <c r="J41" s="103"/>
      <c r="K41" s="103"/>
      <c r="L41" s="103"/>
    </row>
    <row r="42" spans="2:22" ht="15" customHeight="1" x14ac:dyDescent="0.25">
      <c r="J42" s="103"/>
      <c r="K42" s="103"/>
      <c r="L42" s="103"/>
    </row>
    <row r="43" spans="2:22" ht="15" customHeight="1" x14ac:dyDescent="0.25">
      <c r="J43" s="103"/>
      <c r="K43" s="103"/>
      <c r="L43" s="103"/>
    </row>
    <row r="44" spans="2:22" ht="15" customHeight="1" x14ac:dyDescent="0.25">
      <c r="J44" s="103"/>
      <c r="K44" s="103"/>
      <c r="L44" s="103"/>
    </row>
  </sheetData>
  <mergeCells count="14">
    <mergeCell ref="G25:G31"/>
    <mergeCell ref="J25:J31"/>
    <mergeCell ref="M25:M31"/>
    <mergeCell ref="P25:P31"/>
    <mergeCell ref="C3:R3"/>
    <mergeCell ref="B2:Q2"/>
    <mergeCell ref="B1:Q1"/>
    <mergeCell ref="J10:K10"/>
    <mergeCell ref="M10:N10"/>
    <mergeCell ref="P10:Q10"/>
    <mergeCell ref="G10:H10"/>
    <mergeCell ref="C10:D11"/>
    <mergeCell ref="B10:B11"/>
    <mergeCell ref="E10:E11"/>
  </mergeCells>
  <printOptions horizontalCentered="1"/>
  <pageMargins left="0.59055118110236227" right="0.59055118110236227" top="0.78740157480314965" bottom="0.59055118110236227" header="0.31496062992125984" footer="0.31496062992125984"/>
  <pageSetup paperSize="9" scale="7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A3F7-638E-494B-A5FE-5D921D05F8C3}">
  <sheetPr>
    <pageSetUpPr fitToPage="1"/>
  </sheetPr>
  <dimension ref="B1:V34"/>
  <sheetViews>
    <sheetView view="pageBreakPreview" zoomScaleNormal="100" zoomScaleSheetLayoutView="100" workbookViewId="0">
      <selection activeCell="J21" sqref="J21"/>
    </sheetView>
  </sheetViews>
  <sheetFormatPr baseColWidth="10" defaultColWidth="15.6640625" defaultRowHeight="15" customHeight="1" x14ac:dyDescent="0.25"/>
  <cols>
    <col min="1" max="1" width="1.6640625" style="103" customWidth="1"/>
    <col min="2" max="2" width="15.6640625" style="104" customWidth="1"/>
    <col min="3" max="3" width="20.6640625" style="104" customWidth="1"/>
    <col min="4" max="4" width="20.6640625" style="123" customWidth="1"/>
    <col min="5" max="6" width="20.6640625" style="103" customWidth="1"/>
    <col min="7" max="7" width="1.6640625" style="103" customWidth="1"/>
    <col min="8" max="9" width="15.6640625" style="103"/>
    <col min="10" max="11" width="15.6640625" style="105"/>
    <col min="12" max="16384" width="15.6640625" style="103"/>
  </cols>
  <sheetData>
    <row r="1" spans="2:22" s="105" customFormat="1" ht="30" customHeight="1" thickBot="1" x14ac:dyDescent="0.3">
      <c r="B1" s="714" t="s">
        <v>222</v>
      </c>
      <c r="C1" s="715"/>
      <c r="D1" s="715"/>
      <c r="E1" s="715"/>
      <c r="F1" s="716"/>
      <c r="G1" s="219"/>
      <c r="H1" s="103"/>
    </row>
    <row r="2" spans="2:22" s="185" customFormat="1" ht="4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82"/>
      <c r="R2" s="183"/>
      <c r="S2" s="184"/>
      <c r="T2" s="182"/>
      <c r="U2" s="182"/>
      <c r="V2" s="182"/>
    </row>
    <row r="3" spans="2:22" s="18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82"/>
      <c r="R3" s="183"/>
      <c r="S3" s="184"/>
      <c r="T3" s="182"/>
      <c r="U3" s="182"/>
      <c r="V3" s="182"/>
    </row>
    <row r="4" spans="2:22" s="18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82"/>
      <c r="R4" s="183"/>
      <c r="S4" s="184"/>
      <c r="T4" s="182"/>
      <c r="U4" s="182"/>
      <c r="V4" s="182"/>
    </row>
    <row r="5" spans="2:22" s="18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82"/>
      <c r="R5" s="183"/>
      <c r="S5" s="184"/>
      <c r="T5" s="182"/>
      <c r="U5" s="182"/>
      <c r="V5" s="182"/>
    </row>
    <row r="6" spans="2:22" s="18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82"/>
      <c r="R6" s="183"/>
      <c r="S6" s="184"/>
      <c r="T6" s="182"/>
      <c r="U6" s="182"/>
      <c r="V6" s="182"/>
    </row>
    <row r="7" spans="2:22" s="18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82"/>
      <c r="R7" s="183"/>
      <c r="S7" s="184"/>
      <c r="T7" s="182"/>
      <c r="U7" s="182"/>
      <c r="V7" s="182"/>
    </row>
    <row r="8" spans="2:22" s="185" customFormat="1" ht="15" customHeight="1" x14ac:dyDescent="0.25">
      <c r="B8" s="786" t="s">
        <v>585</v>
      </c>
      <c r="C8" s="299">
        <f>+FT!$E$25</f>
        <v>638827.47</v>
      </c>
      <c r="D8" s="155"/>
      <c r="E8" s="155"/>
      <c r="F8" s="155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82"/>
      <c r="R8" s="183"/>
      <c r="S8" s="184"/>
      <c r="T8" s="182"/>
      <c r="U8" s="182"/>
      <c r="V8" s="182"/>
    </row>
    <row r="9" spans="2:22" s="105" customFormat="1" ht="6.9" customHeight="1" x14ac:dyDescent="0.25">
      <c r="B9" s="154"/>
      <c r="C9" s="154"/>
      <c r="D9" s="188"/>
      <c r="E9" s="188"/>
      <c r="F9" s="188"/>
      <c r="G9" s="103"/>
      <c r="H9" s="119"/>
      <c r="I9" s="119"/>
    </row>
    <row r="10" spans="2:22" s="105" customFormat="1" ht="15" customHeight="1" x14ac:dyDescent="0.25">
      <c r="B10" s="531" t="s">
        <v>604</v>
      </c>
      <c r="C10" s="507"/>
      <c r="D10" s="507"/>
      <c r="E10" s="507"/>
      <c r="F10" s="507"/>
      <c r="G10" s="103"/>
      <c r="H10" s="119"/>
      <c r="I10" s="119"/>
    </row>
    <row r="11" spans="2:22" s="105" customFormat="1" ht="15" customHeight="1" x14ac:dyDescent="0.25">
      <c r="B11" s="507"/>
      <c r="C11" s="507"/>
      <c r="D11" s="507"/>
      <c r="E11" s="507"/>
      <c r="F11" s="507"/>
      <c r="G11" s="103"/>
      <c r="H11" s="119"/>
      <c r="I11" s="119"/>
    </row>
    <row r="12" spans="2:22" s="105" customFormat="1" ht="15" customHeight="1" x14ac:dyDescent="0.25">
      <c r="B12" s="507"/>
      <c r="C12" s="507"/>
      <c r="D12" s="507"/>
      <c r="E12" s="507"/>
      <c r="F12" s="507"/>
      <c r="G12" s="103"/>
      <c r="H12" s="119"/>
      <c r="I12" s="119"/>
    </row>
    <row r="13" spans="2:22" s="105" customFormat="1" ht="15" customHeight="1" x14ac:dyDescent="0.25">
      <c r="B13" s="507"/>
      <c r="C13" s="507"/>
      <c r="D13" s="507"/>
      <c r="E13" s="507"/>
      <c r="F13" s="507"/>
      <c r="G13" s="103"/>
      <c r="H13" s="119"/>
      <c r="I13" s="119"/>
    </row>
    <row r="14" spans="2:22" s="105" customFormat="1" ht="15" customHeight="1" x14ac:dyDescent="0.25">
      <c r="B14" s="507"/>
      <c r="C14" s="507"/>
      <c r="D14" s="507"/>
      <c r="E14" s="507"/>
      <c r="F14" s="507"/>
      <c r="G14" s="103"/>
      <c r="H14" s="119"/>
      <c r="I14" s="119"/>
    </row>
    <row r="15" spans="2:22" s="105" customFormat="1" ht="15" customHeight="1" x14ac:dyDescent="0.25">
      <c r="B15" s="507"/>
      <c r="C15" s="507"/>
      <c r="D15" s="507"/>
      <c r="E15" s="507"/>
      <c r="F15" s="507"/>
      <c r="G15" s="103"/>
      <c r="H15" s="119"/>
      <c r="I15" s="119"/>
    </row>
    <row r="16" spans="2:22" s="105" customFormat="1" ht="15" customHeight="1" x14ac:dyDescent="0.25">
      <c r="B16" s="507" t="s">
        <v>581</v>
      </c>
      <c r="C16" s="507"/>
      <c r="D16" s="507"/>
      <c r="E16" s="507"/>
      <c r="F16" s="507"/>
      <c r="G16" s="103"/>
      <c r="H16" s="119"/>
      <c r="I16" s="119"/>
    </row>
    <row r="17" spans="2:10" s="105" customFormat="1" ht="15" customHeight="1" x14ac:dyDescent="0.25">
      <c r="B17" s="507"/>
      <c r="C17" s="507"/>
      <c r="D17" s="507"/>
      <c r="E17" s="507"/>
      <c r="F17" s="507"/>
      <c r="G17" s="103"/>
      <c r="H17" s="119"/>
      <c r="I17" s="119"/>
    </row>
    <row r="18" spans="2:10" s="105" customFormat="1" ht="15" customHeight="1" x14ac:dyDescent="0.25">
      <c r="B18" s="507"/>
      <c r="C18" s="507"/>
      <c r="D18" s="507"/>
      <c r="E18" s="507"/>
      <c r="F18" s="507"/>
      <c r="G18" s="103"/>
      <c r="H18" s="119"/>
      <c r="I18" s="119"/>
    </row>
    <row r="19" spans="2:10" s="105" customFormat="1" ht="7.5" customHeight="1" x14ac:dyDescent="0.25">
      <c r="B19" s="154"/>
      <c r="C19" s="154"/>
      <c r="D19" s="188"/>
      <c r="E19" s="188"/>
      <c r="F19" s="188"/>
      <c r="G19" s="103"/>
      <c r="H19" s="119"/>
      <c r="I19" s="119"/>
    </row>
    <row r="20" spans="2:10" s="105" customFormat="1" ht="15" customHeight="1" x14ac:dyDescent="0.25">
      <c r="B20" s="104" t="s">
        <v>208</v>
      </c>
      <c r="D20" s="220">
        <f>+FT!$E$25</f>
        <v>638827.47</v>
      </c>
      <c r="G20" s="103"/>
      <c r="H20" s="119"/>
      <c r="I20" s="119"/>
    </row>
    <row r="21" spans="2:10" s="105" customFormat="1" ht="15" customHeight="1" x14ac:dyDescent="0.25">
      <c r="B21" s="103" t="s">
        <v>164</v>
      </c>
      <c r="D21" s="220">
        <f>ROUND(D20*10%,2)</f>
        <v>63882.75</v>
      </c>
      <c r="F21" s="220"/>
      <c r="G21" s="103"/>
      <c r="H21" s="119"/>
      <c r="I21" s="119"/>
    </row>
    <row r="22" spans="2:10" s="105" customFormat="1" ht="15" customHeight="1" x14ac:dyDescent="0.25">
      <c r="B22" s="154"/>
      <c r="C22" s="154"/>
      <c r="D22" s="188"/>
      <c r="E22" s="188"/>
      <c r="F22" s="188"/>
      <c r="G22" s="103"/>
      <c r="H22" s="119"/>
      <c r="I22" s="119"/>
    </row>
    <row r="23" spans="2:10" s="105" customFormat="1" ht="30" customHeight="1" x14ac:dyDescent="0.25">
      <c r="B23" s="754" t="s">
        <v>123</v>
      </c>
      <c r="C23" s="755" t="s">
        <v>58</v>
      </c>
      <c r="D23" s="754" t="s">
        <v>582</v>
      </c>
      <c r="E23" s="754" t="s">
        <v>170</v>
      </c>
      <c r="F23" s="754" t="s">
        <v>126</v>
      </c>
      <c r="G23" s="103"/>
      <c r="H23" s="119"/>
      <c r="I23" s="103"/>
    </row>
    <row r="24" spans="2:10" s="105" customFormat="1" ht="15" customHeight="1" x14ac:dyDescent="0.25">
      <c r="B24" s="256">
        <f>+'CONTROL GEN. AVAN. OBRA.'!B11</f>
        <v>1</v>
      </c>
      <c r="C24" s="497">
        <f>+'CONTROL GEN. AVAN. OBRA.'!C11</f>
        <v>46174</v>
      </c>
      <c r="D24" s="498">
        <f>+'CONTROL GEN. AVAN. OBRA.'!H11</f>
        <v>400648.29</v>
      </c>
      <c r="E24" s="499">
        <f>+D21</f>
        <v>63882.75</v>
      </c>
      <c r="F24" s="498">
        <f>IF(D24&lt;E24,D24,E24)</f>
        <v>63882.75</v>
      </c>
      <c r="G24" s="103"/>
      <c r="H24" s="119"/>
      <c r="I24" s="103"/>
      <c r="J24" s="349"/>
    </row>
    <row r="25" spans="2:10" s="105" customFormat="1" ht="15" customHeight="1" x14ac:dyDescent="0.25">
      <c r="B25" s="500">
        <f>+'CONTROL GEN. AVAN. OBRA.'!B12</f>
        <v>2</v>
      </c>
      <c r="C25" s="501">
        <f>+'CONTROL GEN. AVAN. OBRA.'!C12</f>
        <v>46204</v>
      </c>
      <c r="D25" s="502">
        <f>+'CONTROL GEN. AVAN. OBRA.'!H12</f>
        <v>224198.55</v>
      </c>
      <c r="E25" s="502">
        <v>0</v>
      </c>
      <c r="F25" s="502">
        <f t="shared" ref="F25" si="0">IF(D25&lt;E25,D25,E25)</f>
        <v>0</v>
      </c>
      <c r="G25" s="103"/>
      <c r="I25" s="103"/>
    </row>
    <row r="26" spans="2:10" s="105" customFormat="1" ht="15" customHeight="1" x14ac:dyDescent="0.25">
      <c r="B26" s="160">
        <f>+'CONTROL GEN. AVAN. OBRA.'!B13</f>
        <v>3</v>
      </c>
      <c r="C26" s="230">
        <f>+'CONTROL GEN. AVAN. OBRA.'!C13</f>
        <v>46235</v>
      </c>
      <c r="D26" s="231">
        <f>+'CONTROL GEN. AVAN. OBRA.'!H13</f>
        <v>0</v>
      </c>
      <c r="E26" s="231">
        <v>0</v>
      </c>
      <c r="F26" s="231">
        <f>IF(D26&lt;E26,D26,E26)</f>
        <v>0</v>
      </c>
      <c r="G26" s="103"/>
      <c r="I26" s="103"/>
    </row>
    <row r="27" spans="2:10" s="105" customFormat="1" ht="5.0999999999999996" customHeight="1" x14ac:dyDescent="0.25">
      <c r="B27" s="221"/>
      <c r="C27" s="222"/>
      <c r="D27" s="223"/>
      <c r="E27" s="224"/>
      <c r="F27" s="225"/>
      <c r="G27" s="103"/>
      <c r="H27" s="103"/>
      <c r="I27" s="103"/>
    </row>
    <row r="28" spans="2:10" s="105" customFormat="1" ht="15" customHeight="1" x14ac:dyDescent="0.25">
      <c r="B28" s="532" t="s">
        <v>166</v>
      </c>
      <c r="C28" s="533"/>
      <c r="D28" s="533"/>
      <c r="E28" s="534"/>
      <c r="F28" s="232">
        <f>+F24</f>
        <v>63882.75</v>
      </c>
      <c r="G28" s="103"/>
      <c r="H28" s="103"/>
      <c r="I28" s="103"/>
    </row>
    <row r="29" spans="2:10" s="105" customFormat="1" ht="15" customHeight="1" x14ac:dyDescent="0.25">
      <c r="B29" s="535" t="s">
        <v>165</v>
      </c>
      <c r="C29" s="536"/>
      <c r="D29" s="536"/>
      <c r="E29" s="537"/>
      <c r="F29" s="233">
        <f>+F25</f>
        <v>0</v>
      </c>
      <c r="G29" s="103"/>
      <c r="H29" s="103"/>
      <c r="I29" s="103"/>
    </row>
    <row r="30" spans="2:10" s="227" customFormat="1" ht="15" customHeight="1" x14ac:dyDescent="0.25">
      <c r="B30" s="525" t="s">
        <v>167</v>
      </c>
      <c r="C30" s="526"/>
      <c r="D30" s="526"/>
      <c r="E30" s="527"/>
      <c r="F30" s="234">
        <f>+F28+F29</f>
        <v>63882.75</v>
      </c>
      <c r="G30" s="98"/>
      <c r="H30" s="226"/>
      <c r="I30" s="98"/>
    </row>
    <row r="31" spans="2:10" s="105" customFormat="1" ht="15" customHeight="1" x14ac:dyDescent="0.25">
      <c r="B31" s="528" t="s">
        <v>128</v>
      </c>
      <c r="C31" s="529"/>
      <c r="D31" s="529"/>
      <c r="E31" s="530"/>
      <c r="F31" s="231">
        <f>+D21-F30</f>
        <v>0</v>
      </c>
      <c r="G31" s="103"/>
      <c r="H31" s="103"/>
      <c r="I31" s="103"/>
    </row>
    <row r="32" spans="2:10" s="105" customFormat="1" ht="15" customHeight="1" x14ac:dyDescent="0.25">
      <c r="B32" s="104"/>
      <c r="C32" s="104"/>
      <c r="D32" s="123"/>
      <c r="E32" s="103"/>
      <c r="F32" s="103"/>
      <c r="G32" s="103"/>
      <c r="H32" s="103"/>
      <c r="I32" s="103"/>
    </row>
    <row r="33" spans="5:6" ht="15" customHeight="1" x14ac:dyDescent="0.25">
      <c r="E33" s="228" t="s">
        <v>302</v>
      </c>
      <c r="F33" s="229">
        <f>+F29</f>
        <v>0</v>
      </c>
    </row>
    <row r="34" spans="5:6" ht="15" customHeight="1" x14ac:dyDescent="0.25">
      <c r="F34" s="128"/>
    </row>
  </sheetData>
  <mergeCells count="8">
    <mergeCell ref="C2:F2"/>
    <mergeCell ref="B1:F1"/>
    <mergeCell ref="B30:E30"/>
    <mergeCell ref="B31:E31"/>
    <mergeCell ref="B10:F15"/>
    <mergeCell ref="B16:F18"/>
    <mergeCell ref="B28:E28"/>
    <mergeCell ref="B29:E29"/>
  </mergeCells>
  <printOptions horizontalCentered="1"/>
  <pageMargins left="0.78740157480314965" right="0.59055118110236227" top="0.59055118110236227" bottom="0.59055118110236227" header="0.31496062992125984" footer="0.31496062992125984"/>
  <pageSetup paperSize="9" scale="86" fitToHeight="0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6088-BEC6-4F98-BCDE-9C5AE169990D}">
  <sheetPr>
    <tabColor rgb="FFFFFF00"/>
    <pageSetUpPr fitToPage="1"/>
  </sheetPr>
  <dimension ref="B1:K61"/>
  <sheetViews>
    <sheetView view="pageBreakPreview" zoomScaleNormal="100" zoomScaleSheetLayoutView="100" workbookViewId="0">
      <selection activeCell="B2" sqref="B2:B7"/>
    </sheetView>
  </sheetViews>
  <sheetFormatPr baseColWidth="10" defaultColWidth="12.6640625" defaultRowHeight="15" customHeight="1" x14ac:dyDescent="0.25"/>
  <cols>
    <col min="1" max="1" width="1.6640625" style="103" customWidth="1"/>
    <col min="2" max="2" width="12.6640625" style="104" customWidth="1"/>
    <col min="3" max="3" width="50.6640625" style="103" customWidth="1"/>
    <col min="4" max="4" width="10.6640625" style="103" customWidth="1"/>
    <col min="5" max="5" width="18.6640625" style="122" customWidth="1"/>
    <col min="6" max="6" width="1.6640625" style="103" customWidth="1"/>
    <col min="7" max="16384" width="12.6640625" style="103"/>
  </cols>
  <sheetData>
    <row r="1" spans="2:11" s="105" customFormat="1" ht="30" customHeight="1" thickBot="1" x14ac:dyDescent="0.3">
      <c r="B1" s="714" t="str">
        <f>"RESUMEN DE PAGO DE LA "&amp;'VAL. MENSUAL'!B1</f>
        <v>RESUMEN DE PAGO DE LA VALORIZACIÓN N°02 DEL MES DE JULIO DE 2026</v>
      </c>
      <c r="C1" s="715"/>
      <c r="D1" s="715"/>
      <c r="E1" s="716"/>
      <c r="F1" s="103"/>
    </row>
    <row r="2" spans="2:11" s="185" customFormat="1" ht="45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106"/>
      <c r="G2" s="183"/>
      <c r="H2" s="184"/>
      <c r="I2" s="182"/>
      <c r="J2" s="182"/>
      <c r="K2" s="182"/>
    </row>
    <row r="3" spans="2:11" s="18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  <c r="F3" s="106"/>
      <c r="G3" s="183"/>
      <c r="H3" s="184"/>
      <c r="I3" s="182"/>
      <c r="J3" s="182"/>
      <c r="K3" s="182"/>
    </row>
    <row r="4" spans="2:11" s="18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83"/>
      <c r="H4" s="184"/>
      <c r="I4" s="182"/>
      <c r="J4" s="182"/>
      <c r="K4" s="182"/>
    </row>
    <row r="5" spans="2:11" s="18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  <c r="F5" s="106"/>
      <c r="G5" s="183"/>
      <c r="H5" s="184"/>
      <c r="I5" s="182"/>
      <c r="J5" s="182"/>
      <c r="K5" s="182"/>
    </row>
    <row r="6" spans="2:11" s="18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6"/>
      <c r="F6" s="106"/>
      <c r="G6" s="183"/>
      <c r="H6" s="184"/>
      <c r="I6" s="182"/>
      <c r="J6" s="182"/>
      <c r="K6" s="182"/>
    </row>
    <row r="7" spans="2:11" s="18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6"/>
      <c r="E7" s="106"/>
      <c r="F7" s="106"/>
      <c r="G7" s="183"/>
      <c r="H7" s="184"/>
      <c r="I7" s="182"/>
      <c r="J7" s="182"/>
      <c r="K7" s="182"/>
    </row>
    <row r="8" spans="2:11" s="105" customFormat="1" ht="6.9" customHeight="1" thickBot="1" x14ac:dyDescent="0.3">
      <c r="B8" s="104"/>
      <c r="C8" s="104"/>
      <c r="D8" s="106"/>
      <c r="E8" s="188"/>
      <c r="F8" s="103"/>
    </row>
    <row r="9" spans="2:11" ht="15" customHeight="1" x14ac:dyDescent="0.25">
      <c r="B9" s="836" t="s">
        <v>10</v>
      </c>
      <c r="C9" s="837" t="s">
        <v>57</v>
      </c>
      <c r="D9" s="837"/>
      <c r="E9" s="830" t="s">
        <v>19</v>
      </c>
    </row>
    <row r="10" spans="2:11" ht="15" customHeight="1" thickBot="1" x14ac:dyDescent="0.3">
      <c r="B10" s="838"/>
      <c r="C10" s="839"/>
      <c r="D10" s="839"/>
      <c r="E10" s="840"/>
    </row>
    <row r="11" spans="2:11" s="191" customFormat="1" ht="15" customHeight="1" x14ac:dyDescent="0.25">
      <c r="B11" s="277" t="str">
        <f>+'RESUMEN VAL.'!B12</f>
        <v>01.01</v>
      </c>
      <c r="C11" s="278" t="str">
        <f>+'RESUMEN VAL.'!C12</f>
        <v>OBRAS PROVISIONALES Y TRABAJOS PRELIMINARES</v>
      </c>
      <c r="D11" s="279">
        <f>+'RESUMEN VAL.'!J12</f>
        <v>6.3600000000000004E-2</v>
      </c>
      <c r="E11" s="280">
        <f>+'RESUMEN VAL.'!K12</f>
        <v>1560</v>
      </c>
      <c r="F11" s="190"/>
      <c r="G11" s="236"/>
      <c r="H11" s="236"/>
      <c r="I11" s="236"/>
      <c r="J11" s="236"/>
      <c r="K11" s="236"/>
    </row>
    <row r="12" spans="2:11" s="191" customFormat="1" ht="15" customHeight="1" x14ac:dyDescent="0.25">
      <c r="B12" s="277" t="str">
        <f>+'RESUMEN VAL.'!B13</f>
        <v>01.02</v>
      </c>
      <c r="C12" s="278" t="str">
        <f>+'RESUMEN VAL.'!C13</f>
        <v>PAVIMENTO RIGIDO</v>
      </c>
      <c r="D12" s="279">
        <f>+'RESUMEN VAL.'!J13</f>
        <v>0</v>
      </c>
      <c r="E12" s="280">
        <f>+'RESUMEN VAL.'!K13</f>
        <v>0</v>
      </c>
      <c r="F12" s="190"/>
      <c r="G12" s="236"/>
      <c r="H12" s="236"/>
      <c r="I12" s="236"/>
      <c r="J12" s="236"/>
      <c r="K12" s="236"/>
    </row>
    <row r="13" spans="2:11" s="191" customFormat="1" ht="15" customHeight="1" x14ac:dyDescent="0.25">
      <c r="B13" s="277" t="str">
        <f>+'RESUMEN VAL.'!B14</f>
        <v>01.03</v>
      </c>
      <c r="C13" s="278" t="str">
        <f>+'RESUMEN VAL.'!C14</f>
        <v xml:space="preserve">VEREDAS, RAMPAS Y MARTILLOS </v>
      </c>
      <c r="D13" s="279">
        <f>+'RESUMEN VAL.'!J14</f>
        <v>0.62619999999999998</v>
      </c>
      <c r="E13" s="280">
        <f>+'RESUMEN VAL.'!K14</f>
        <v>50900.789999999994</v>
      </c>
      <c r="F13" s="190"/>
      <c r="G13" s="236"/>
      <c r="H13" s="236"/>
      <c r="I13" s="236"/>
      <c r="J13" s="236"/>
      <c r="K13" s="236"/>
    </row>
    <row r="14" spans="2:11" s="191" customFormat="1" ht="15" customHeight="1" x14ac:dyDescent="0.25">
      <c r="B14" s="277" t="str">
        <f>+'RESUMEN VAL.'!B15</f>
        <v>01.04</v>
      </c>
      <c r="C14" s="278" t="str">
        <f>+'RESUMEN VAL.'!C15</f>
        <v>CUNETA PLUVIAL</v>
      </c>
      <c r="D14" s="279">
        <f>+'RESUMEN VAL.'!J15</f>
        <v>1</v>
      </c>
      <c r="E14" s="280">
        <f>+'RESUMEN VAL.'!K15</f>
        <v>22284.829999999998</v>
      </c>
      <c r="F14" s="190"/>
      <c r="G14" s="236"/>
      <c r="H14" s="236"/>
      <c r="I14" s="236"/>
      <c r="J14" s="236"/>
      <c r="K14" s="236"/>
    </row>
    <row r="15" spans="2:11" s="191" customFormat="1" ht="15" customHeight="1" x14ac:dyDescent="0.25">
      <c r="B15" s="277" t="str">
        <f>+'RESUMEN VAL.'!B16</f>
        <v>01.05</v>
      </c>
      <c r="C15" s="278" t="str">
        <f>+'RESUMEN VAL.'!C16</f>
        <v>SARDINELES DE CONCRETO</v>
      </c>
      <c r="D15" s="279">
        <f>+'RESUMEN VAL.'!J16</f>
        <v>1</v>
      </c>
      <c r="E15" s="280">
        <f>+'RESUMEN VAL.'!K16</f>
        <v>41213.67</v>
      </c>
      <c r="F15" s="190"/>
      <c r="G15" s="236"/>
      <c r="H15" s="236"/>
      <c r="I15" s="236"/>
      <c r="J15" s="236"/>
      <c r="K15" s="236"/>
    </row>
    <row r="16" spans="2:11" s="191" customFormat="1" ht="15" customHeight="1" x14ac:dyDescent="0.25">
      <c r="B16" s="277" t="str">
        <f>+'RESUMEN VAL.'!B17</f>
        <v>01.06</v>
      </c>
      <c r="C16" s="278" t="str">
        <f>+'RESUMEN VAL.'!C17</f>
        <v>MURO DE CONTENCION</v>
      </c>
      <c r="D16" s="279">
        <f>+'RESUMEN VAL.'!J17</f>
        <v>1</v>
      </c>
      <c r="E16" s="280">
        <f>+'RESUMEN VAL.'!K17</f>
        <v>18738.919999999998</v>
      </c>
      <c r="F16" s="190"/>
      <c r="G16" s="236"/>
      <c r="H16" s="236"/>
      <c r="I16" s="236"/>
      <c r="J16" s="236"/>
      <c r="K16" s="236"/>
    </row>
    <row r="17" spans="2:11" s="191" customFormat="1" ht="15" customHeight="1" x14ac:dyDescent="0.25">
      <c r="B17" s="277" t="str">
        <f>+'RESUMEN VAL.'!B18</f>
        <v>01.07</v>
      </c>
      <c r="C17" s="278" t="str">
        <f>+'RESUMEN VAL.'!C18</f>
        <v>GRADERIAS</v>
      </c>
      <c r="D17" s="279">
        <f>+'RESUMEN VAL.'!J18</f>
        <v>0.62829999999999997</v>
      </c>
      <c r="E17" s="280">
        <f>+'RESUMEN VAL.'!K18</f>
        <v>3770.29</v>
      </c>
      <c r="F17" s="190"/>
      <c r="G17" s="236"/>
      <c r="H17" s="236"/>
      <c r="I17" s="236"/>
      <c r="J17" s="236"/>
      <c r="K17" s="236"/>
    </row>
    <row r="18" spans="2:11" s="191" customFormat="1" ht="15" customHeight="1" x14ac:dyDescent="0.25">
      <c r="B18" s="277" t="str">
        <f>+'RESUMEN VAL.'!B19</f>
        <v>01.08</v>
      </c>
      <c r="C18" s="278" t="str">
        <f>+'RESUMEN VAL.'!C19</f>
        <v>JARDINERIA</v>
      </c>
      <c r="D18" s="279">
        <f>+'RESUMEN VAL.'!J19</f>
        <v>1</v>
      </c>
      <c r="E18" s="280">
        <f>+'RESUMEN VAL.'!K19</f>
        <v>18254.61</v>
      </c>
      <c r="F18" s="190"/>
      <c r="G18" s="236"/>
      <c r="H18" s="236"/>
      <c r="I18" s="236"/>
      <c r="J18" s="236"/>
      <c r="K18" s="236"/>
    </row>
    <row r="19" spans="2:11" s="191" customFormat="1" ht="15" customHeight="1" x14ac:dyDescent="0.25">
      <c r="B19" s="277" t="str">
        <f>+'RESUMEN VAL.'!B20</f>
        <v>01.09</v>
      </c>
      <c r="C19" s="278" t="str">
        <f>+'RESUMEN VAL.'!C20</f>
        <v>PLANTAS DECORATIVAS</v>
      </c>
      <c r="D19" s="279">
        <f>+'RESUMEN VAL.'!J20</f>
        <v>0</v>
      </c>
      <c r="E19" s="280">
        <f>+'RESUMEN VAL.'!K20</f>
        <v>1224</v>
      </c>
      <c r="F19" s="190"/>
      <c r="G19" s="236"/>
      <c r="H19" s="236"/>
      <c r="I19" s="236"/>
      <c r="J19" s="236"/>
      <c r="K19" s="236"/>
    </row>
    <row r="20" spans="2:11" s="191" customFormat="1" ht="15" customHeight="1" x14ac:dyDescent="0.25">
      <c r="B20" s="277" t="str">
        <f>+'RESUMEN VAL.'!B21</f>
        <v>01.10</v>
      </c>
      <c r="C20" s="278" t="str">
        <f>+'RESUMEN VAL.'!C21</f>
        <v>OTROS</v>
      </c>
      <c r="D20" s="279">
        <f>+'RESUMEN VAL.'!J21</f>
        <v>0</v>
      </c>
      <c r="E20" s="280">
        <f>+'RESUMEN VAL.'!K21</f>
        <v>0</v>
      </c>
      <c r="F20" s="190"/>
      <c r="G20" s="236"/>
      <c r="H20" s="236"/>
      <c r="I20" s="236"/>
      <c r="J20" s="236"/>
      <c r="K20" s="236"/>
    </row>
    <row r="21" spans="2:11" s="191" customFormat="1" ht="15" customHeight="1" x14ac:dyDescent="0.25">
      <c r="B21" s="277" t="str">
        <f>+'RESUMEN VAL.'!B22</f>
        <v>01.11</v>
      </c>
      <c r="C21" s="278" t="str">
        <f>+'RESUMEN VAL.'!C22</f>
        <v>SEGURIDAD Y SALUD</v>
      </c>
      <c r="D21" s="279">
        <f>+'RESUMEN VAL.'!J22</f>
        <v>0</v>
      </c>
      <c r="E21" s="280">
        <f>+'RESUMEN VAL.'!K22</f>
        <v>840</v>
      </c>
      <c r="F21" s="190"/>
      <c r="G21" s="236"/>
      <c r="H21" s="236"/>
      <c r="I21" s="236"/>
      <c r="J21" s="236"/>
      <c r="K21" s="236"/>
    </row>
    <row r="22" spans="2:11" s="191" customFormat="1" ht="15" customHeight="1" x14ac:dyDescent="0.25">
      <c r="B22" s="277" t="str">
        <f>+'RESUMEN VAL.'!B23</f>
        <v>01.12</v>
      </c>
      <c r="C22" s="278" t="str">
        <f>+'RESUMEN VAL.'!C23</f>
        <v>FLETE</v>
      </c>
      <c r="D22" s="279">
        <f>+'RESUMEN VAL.'!J23</f>
        <v>0</v>
      </c>
      <c r="E22" s="280">
        <f>+'RESUMEN VAL.'!K23</f>
        <v>0</v>
      </c>
      <c r="F22" s="190"/>
      <c r="G22" s="236"/>
      <c r="H22" s="236"/>
      <c r="I22" s="236"/>
      <c r="J22" s="236"/>
      <c r="K22" s="236"/>
    </row>
    <row r="23" spans="2:11" s="191" customFormat="1" ht="15" customHeight="1" x14ac:dyDescent="0.25">
      <c r="B23" s="277" t="str">
        <f>+'RESUMEN VAL.'!B24</f>
        <v>01.13</v>
      </c>
      <c r="C23" s="278" t="str">
        <f>+'RESUMEN VAL.'!C24</f>
        <v>IMPACTO AMBIENTAL</v>
      </c>
      <c r="D23" s="279">
        <f>+'RESUMEN VAL.'!J24</f>
        <v>0</v>
      </c>
      <c r="E23" s="280">
        <f>+'RESUMEN VAL.'!K24</f>
        <v>3605</v>
      </c>
      <c r="F23" s="190"/>
      <c r="G23" s="236"/>
      <c r="H23" s="236"/>
      <c r="I23" s="236"/>
      <c r="J23" s="236"/>
      <c r="K23" s="236"/>
    </row>
    <row r="24" spans="2:11" s="191" customFormat="1" ht="15" customHeight="1" x14ac:dyDescent="0.25">
      <c r="B24" s="241"/>
      <c r="C24" s="242" t="s">
        <v>4</v>
      </c>
      <c r="D24" s="288"/>
      <c r="E24" s="243">
        <f>ROUND(SUM(E11:E23),2)</f>
        <v>162392.10999999999</v>
      </c>
      <c r="F24" s="190"/>
      <c r="G24" s="236"/>
      <c r="H24" s="236"/>
      <c r="I24" s="236"/>
      <c r="J24" s="236"/>
      <c r="K24" s="236"/>
    </row>
    <row r="25" spans="2:11" s="191" customFormat="1" ht="15" customHeight="1" x14ac:dyDescent="0.25">
      <c r="B25" s="276"/>
      <c r="C25" s="271" t="s">
        <v>41</v>
      </c>
      <c r="D25" s="281">
        <f>+'RESUMEN VAL.'!D26</f>
        <v>0.1</v>
      </c>
      <c r="E25" s="273">
        <f>ROUND($D25*E$24,2)</f>
        <v>16239.21</v>
      </c>
      <c r="F25" s="190"/>
      <c r="G25" s="236"/>
      <c r="H25" s="236"/>
      <c r="I25" s="236"/>
      <c r="J25" s="236"/>
      <c r="K25" s="236"/>
    </row>
    <row r="26" spans="2:11" s="191" customFormat="1" ht="15" customHeight="1" x14ac:dyDescent="0.25">
      <c r="B26" s="282"/>
      <c r="C26" s="268" t="s">
        <v>99</v>
      </c>
      <c r="D26" s="283">
        <f>+'RESUMEN VAL.'!D27</f>
        <v>7.0000000000000007E-2</v>
      </c>
      <c r="E26" s="269">
        <f>ROUND($D26*E$24,2)</f>
        <v>11367.45</v>
      </c>
      <c r="F26" s="190"/>
      <c r="G26" s="236"/>
      <c r="H26" s="236"/>
      <c r="I26" s="236"/>
      <c r="J26" s="236"/>
      <c r="K26" s="236"/>
    </row>
    <row r="27" spans="2:11" s="191" customFormat="1" ht="15" customHeight="1" x14ac:dyDescent="0.25">
      <c r="B27" s="180"/>
      <c r="C27" s="242" t="s">
        <v>33</v>
      </c>
      <c r="D27" s="245"/>
      <c r="E27" s="243">
        <f>ROUND(E24+E25+E26,2)</f>
        <v>189998.77</v>
      </c>
      <c r="F27" s="190"/>
      <c r="G27" s="236"/>
      <c r="H27" s="236"/>
      <c r="I27" s="236"/>
      <c r="J27" s="236"/>
      <c r="K27" s="236"/>
    </row>
    <row r="28" spans="2:11" s="191" customFormat="1" ht="15" customHeight="1" x14ac:dyDescent="0.25">
      <c r="B28" s="180"/>
      <c r="C28" s="238" t="s">
        <v>142</v>
      </c>
      <c r="D28" s="244">
        <v>0.18</v>
      </c>
      <c r="E28" s="240">
        <f>ROUND($D$28*E27,2)</f>
        <v>34199.78</v>
      </c>
      <c r="F28" s="190"/>
      <c r="G28" s="236"/>
      <c r="H28" s="236"/>
      <c r="I28" s="236"/>
      <c r="J28" s="236"/>
      <c r="K28" s="236"/>
    </row>
    <row r="29" spans="2:11" s="191" customFormat="1" ht="15" customHeight="1" x14ac:dyDescent="0.25">
      <c r="B29" s="180" t="s">
        <v>137</v>
      </c>
      <c r="C29" s="242" t="s">
        <v>221</v>
      </c>
      <c r="D29" s="239">
        <f>+'RESUMEN VAL.'!K31</f>
        <v>0.35099999999999998</v>
      </c>
      <c r="E29" s="243">
        <f>E27+E28</f>
        <v>224198.55</v>
      </c>
      <c r="F29" s="190"/>
      <c r="G29" s="236"/>
      <c r="H29" s="236"/>
      <c r="I29" s="236"/>
      <c r="J29" s="236"/>
      <c r="K29" s="236"/>
    </row>
    <row r="30" spans="2:11" s="191" customFormat="1" ht="15" customHeight="1" x14ac:dyDescent="0.25">
      <c r="B30" s="180" t="s">
        <v>146</v>
      </c>
      <c r="C30" s="242" t="s">
        <v>162</v>
      </c>
      <c r="D30" s="289"/>
      <c r="E30" s="243">
        <v>0</v>
      </c>
      <c r="F30" s="190"/>
      <c r="G30" s="236"/>
      <c r="H30" s="236"/>
      <c r="I30" s="236"/>
      <c r="J30" s="236"/>
      <c r="K30" s="236"/>
    </row>
    <row r="31" spans="2:11" s="191" customFormat="1" ht="15" customHeight="1" x14ac:dyDescent="0.25">
      <c r="B31" s="284"/>
      <c r="C31" s="271" t="s">
        <v>154</v>
      </c>
      <c r="D31" s="285"/>
      <c r="E31" s="273">
        <v>0</v>
      </c>
      <c r="F31" s="190"/>
      <c r="G31" s="236"/>
      <c r="H31" s="236"/>
      <c r="I31" s="236"/>
      <c r="J31" s="236"/>
      <c r="K31" s="236"/>
    </row>
    <row r="32" spans="2:11" s="191" customFormat="1" ht="15" customHeight="1" x14ac:dyDescent="0.25">
      <c r="B32" s="286"/>
      <c r="C32" s="268" t="s">
        <v>155</v>
      </c>
      <c r="D32" s="287"/>
      <c r="E32" s="269">
        <v>0</v>
      </c>
      <c r="F32" s="190"/>
      <c r="G32" s="236"/>
      <c r="H32" s="236"/>
      <c r="I32" s="236"/>
      <c r="J32" s="236"/>
      <c r="K32" s="236"/>
    </row>
    <row r="33" spans="2:11" s="191" customFormat="1" ht="15" customHeight="1" x14ac:dyDescent="0.25">
      <c r="B33" s="180" t="s">
        <v>147</v>
      </c>
      <c r="C33" s="242" t="s">
        <v>219</v>
      </c>
      <c r="D33" s="290" t="s">
        <v>220</v>
      </c>
      <c r="E33" s="243">
        <f>E29+E30</f>
        <v>224198.55</v>
      </c>
      <c r="F33" s="190"/>
      <c r="G33" s="236"/>
      <c r="H33" s="236"/>
      <c r="I33" s="236"/>
      <c r="J33" s="236"/>
      <c r="K33" s="236"/>
    </row>
    <row r="34" spans="2:11" s="191" customFormat="1" ht="15" customHeight="1" x14ac:dyDescent="0.25">
      <c r="B34" s="180" t="s">
        <v>125</v>
      </c>
      <c r="C34" s="242" t="s">
        <v>143</v>
      </c>
      <c r="D34" s="289"/>
      <c r="E34" s="243">
        <f>SUM(E35:E36)</f>
        <v>0</v>
      </c>
      <c r="F34" s="190"/>
      <c r="G34" s="236"/>
      <c r="H34" s="236"/>
      <c r="I34" s="236"/>
      <c r="J34" s="236"/>
      <c r="K34" s="236"/>
    </row>
    <row r="35" spans="2:11" ht="15" customHeight="1" x14ac:dyDescent="0.25">
      <c r="B35" s="270"/>
      <c r="C35" s="271" t="s">
        <v>138</v>
      </c>
      <c r="D35" s="272" t="s">
        <v>105</v>
      </c>
      <c r="E35" s="273">
        <v>0</v>
      </c>
      <c r="F35" s="119"/>
    </row>
    <row r="36" spans="2:11" ht="15" customHeight="1" x14ac:dyDescent="0.25">
      <c r="B36" s="274"/>
      <c r="C36" s="268" t="s">
        <v>139</v>
      </c>
      <c r="D36" s="275" t="s">
        <v>105</v>
      </c>
      <c r="E36" s="269">
        <v>0</v>
      </c>
      <c r="F36" s="119"/>
    </row>
    <row r="37" spans="2:11" s="191" customFormat="1" ht="15" customHeight="1" x14ac:dyDescent="0.25">
      <c r="B37" s="180" t="s">
        <v>148</v>
      </c>
      <c r="C37" s="242" t="s">
        <v>144</v>
      </c>
      <c r="D37" s="289"/>
      <c r="E37" s="243">
        <f>SUM(E38:E39)</f>
        <v>0</v>
      </c>
      <c r="F37" s="190"/>
      <c r="G37" s="236"/>
      <c r="H37" s="236"/>
      <c r="I37" s="236"/>
      <c r="J37" s="236"/>
      <c r="K37" s="236"/>
    </row>
    <row r="38" spans="2:11" s="191" customFormat="1" ht="15" customHeight="1" x14ac:dyDescent="0.25">
      <c r="B38" s="270"/>
      <c r="C38" s="271" t="s">
        <v>138</v>
      </c>
      <c r="D38" s="272" t="s">
        <v>105</v>
      </c>
      <c r="E38" s="273">
        <v>0</v>
      </c>
      <c r="F38" s="190"/>
      <c r="G38" s="236"/>
      <c r="H38" s="236"/>
      <c r="I38" s="236"/>
      <c r="J38" s="236"/>
      <c r="K38" s="236"/>
    </row>
    <row r="39" spans="2:11" ht="15" customHeight="1" x14ac:dyDescent="0.25">
      <c r="B39" s="274"/>
      <c r="C39" s="268" t="s">
        <v>139</v>
      </c>
      <c r="D39" s="275" t="s">
        <v>105</v>
      </c>
      <c r="E39" s="269">
        <v>0</v>
      </c>
      <c r="F39" s="119"/>
    </row>
    <row r="40" spans="2:11" s="191" customFormat="1" ht="15" customHeight="1" x14ac:dyDescent="0.25">
      <c r="B40" s="180" t="s">
        <v>134</v>
      </c>
      <c r="C40" s="242" t="s">
        <v>303</v>
      </c>
      <c r="D40" s="290" t="s">
        <v>216</v>
      </c>
      <c r="E40" s="243">
        <f>E33-E34-E37</f>
        <v>224198.55</v>
      </c>
      <c r="F40" s="190"/>
      <c r="G40" s="236"/>
      <c r="H40" s="236"/>
      <c r="I40" s="236"/>
      <c r="J40" s="236"/>
      <c r="K40" s="236"/>
    </row>
    <row r="41" spans="2:11" s="191" customFormat="1" ht="15" customHeight="1" x14ac:dyDescent="0.25">
      <c r="B41" s="180" t="s">
        <v>149</v>
      </c>
      <c r="C41" s="242" t="s">
        <v>136</v>
      </c>
      <c r="D41" s="289"/>
      <c r="E41" s="243">
        <f>SUM(E42:E43)</f>
        <v>8968</v>
      </c>
      <c r="F41" s="190"/>
      <c r="G41" s="236"/>
      <c r="H41" s="236"/>
      <c r="I41" s="236"/>
      <c r="J41" s="236"/>
      <c r="K41" s="236"/>
    </row>
    <row r="42" spans="2:11" ht="15" customHeight="1" x14ac:dyDescent="0.25">
      <c r="B42" s="276"/>
      <c r="C42" s="271" t="s">
        <v>140</v>
      </c>
      <c r="D42" s="272" t="s">
        <v>105</v>
      </c>
      <c r="E42" s="273">
        <f>+'R.F.C'!F29</f>
        <v>0</v>
      </c>
      <c r="F42" s="119"/>
    </row>
    <row r="43" spans="2:11" ht="15" customHeight="1" x14ac:dyDescent="0.25">
      <c r="B43" s="282"/>
      <c r="C43" s="268" t="s">
        <v>272</v>
      </c>
      <c r="D43" s="275"/>
      <c r="E43" s="269">
        <f>ROUND(E40*4%,0)</f>
        <v>8968</v>
      </c>
      <c r="F43" s="119"/>
    </row>
    <row r="44" spans="2:11" s="191" customFormat="1" ht="15" customHeight="1" x14ac:dyDescent="0.25">
      <c r="B44" s="180" t="s">
        <v>150</v>
      </c>
      <c r="C44" s="242" t="s">
        <v>106</v>
      </c>
      <c r="D44" s="289"/>
      <c r="E44" s="243">
        <f>SUM(E45:E46)</f>
        <v>0</v>
      </c>
      <c r="F44" s="190"/>
      <c r="G44" s="236"/>
      <c r="H44" s="236"/>
      <c r="I44" s="236"/>
      <c r="J44" s="236"/>
      <c r="K44" s="236"/>
    </row>
    <row r="45" spans="2:11" s="235" customFormat="1" ht="15" customHeight="1" x14ac:dyDescent="0.25">
      <c r="B45" s="276"/>
      <c r="C45" s="271" t="s">
        <v>141</v>
      </c>
      <c r="D45" s="272" t="s">
        <v>105</v>
      </c>
      <c r="E45" s="273">
        <v>0</v>
      </c>
      <c r="G45" s="236"/>
      <c r="H45" s="236"/>
      <c r="I45" s="236"/>
      <c r="J45" s="236"/>
      <c r="K45" s="236"/>
    </row>
    <row r="46" spans="2:11" s="235" customFormat="1" ht="15" customHeight="1" x14ac:dyDescent="0.25">
      <c r="B46" s="274"/>
      <c r="C46" s="268" t="s">
        <v>109</v>
      </c>
      <c r="D46" s="275" t="s">
        <v>105</v>
      </c>
      <c r="E46" s="269">
        <v>0</v>
      </c>
      <c r="G46" s="236"/>
      <c r="H46" s="236"/>
      <c r="I46" s="236"/>
      <c r="J46" s="236"/>
      <c r="K46" s="236"/>
    </row>
    <row r="47" spans="2:11" s="191" customFormat="1" ht="30" customHeight="1" x14ac:dyDescent="0.25">
      <c r="B47" s="180" t="s">
        <v>124</v>
      </c>
      <c r="C47" s="242" t="s">
        <v>156</v>
      </c>
      <c r="D47" s="290" t="s">
        <v>217</v>
      </c>
      <c r="E47" s="841">
        <f>E40</f>
        <v>224198.55</v>
      </c>
      <c r="F47" s="190"/>
      <c r="G47" s="236"/>
      <c r="H47" s="236"/>
      <c r="I47" s="236"/>
      <c r="J47" s="236"/>
      <c r="K47" s="236"/>
    </row>
    <row r="48" spans="2:11" s="191" customFormat="1" ht="30" customHeight="1" x14ac:dyDescent="0.25">
      <c r="B48" s="789" t="s">
        <v>133</v>
      </c>
      <c r="C48" s="842" t="s">
        <v>157</v>
      </c>
      <c r="D48" s="843" t="s">
        <v>218</v>
      </c>
      <c r="E48" s="841">
        <f>+E40-E41-E44</f>
        <v>215230.55</v>
      </c>
      <c r="F48" s="190"/>
      <c r="G48" s="236"/>
      <c r="H48" s="236"/>
      <c r="I48" s="236"/>
      <c r="J48" s="236"/>
      <c r="K48" s="236"/>
    </row>
    <row r="49" spans="2:6" s="105" customFormat="1" ht="15" customHeight="1" x14ac:dyDescent="0.25"/>
    <row r="50" spans="2:6" ht="15" customHeight="1" x14ac:dyDescent="0.25">
      <c r="B50" s="507" t="s">
        <v>613</v>
      </c>
      <c r="C50" s="507"/>
      <c r="D50" s="507"/>
      <c r="E50" s="507"/>
    </row>
    <row r="51" spans="2:6" s="105" customFormat="1" ht="15" customHeight="1" x14ac:dyDescent="0.25">
      <c r="B51" s="507"/>
      <c r="C51" s="507"/>
      <c r="D51" s="507"/>
      <c r="E51" s="507"/>
      <c r="F51" s="103"/>
    </row>
    <row r="52" spans="2:6" s="105" customFormat="1" ht="15" customHeight="1" x14ac:dyDescent="0.25">
      <c r="B52" s="104" t="s">
        <v>310</v>
      </c>
      <c r="C52" s="103"/>
      <c r="D52" s="103"/>
      <c r="E52" s="122"/>
      <c r="F52" s="103"/>
    </row>
    <row r="53" spans="2:6" s="105" customFormat="1" ht="15" customHeight="1" x14ac:dyDescent="0.25">
      <c r="B53" s="104"/>
      <c r="C53" s="103"/>
      <c r="D53" s="103"/>
      <c r="E53" s="122"/>
      <c r="F53" s="103"/>
    </row>
    <row r="54" spans="2:6" s="105" customFormat="1" ht="15" customHeight="1" x14ac:dyDescent="0.25">
      <c r="B54" s="104"/>
      <c r="C54" s="103"/>
      <c r="F54" s="103"/>
    </row>
    <row r="57" spans="2:6" ht="15" customHeight="1" x14ac:dyDescent="0.25">
      <c r="E57" s="103"/>
    </row>
    <row r="58" spans="2:6" ht="15" customHeight="1" x14ac:dyDescent="0.25">
      <c r="E58" s="103"/>
    </row>
    <row r="59" spans="2:6" ht="15" customHeight="1" x14ac:dyDescent="0.25">
      <c r="E59" s="103"/>
    </row>
    <row r="60" spans="2:6" ht="15" customHeight="1" x14ac:dyDescent="0.25">
      <c r="E60" s="103"/>
    </row>
    <row r="61" spans="2:6" ht="15" customHeight="1" x14ac:dyDescent="0.25">
      <c r="E61" s="103"/>
    </row>
  </sheetData>
  <mergeCells count="6">
    <mergeCell ref="B50:E51"/>
    <mergeCell ref="E9:E10"/>
    <mergeCell ref="B1:E1"/>
    <mergeCell ref="B9:B10"/>
    <mergeCell ref="C9:D10"/>
    <mergeCell ref="C2:E2"/>
  </mergeCells>
  <printOptions horizontalCentered="1"/>
  <pageMargins left="0.78740157480314965" right="0.59055118110236227" top="0.59055118110236227" bottom="0.59055118110236227" header="0.31496062992125984" footer="0.31496062992125984"/>
  <pageSetup paperSize="9" scale="9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DB86-AA01-4D39-9E72-452AA39D94A1}">
  <sheetPr>
    <tabColor rgb="FFFFFF00"/>
    <pageSetUpPr fitToPage="1"/>
  </sheetPr>
  <dimension ref="B1:W61"/>
  <sheetViews>
    <sheetView view="pageBreakPreview" zoomScaleNormal="100" zoomScaleSheetLayoutView="100" workbookViewId="0">
      <selection activeCell="M12" sqref="M12"/>
    </sheetView>
  </sheetViews>
  <sheetFormatPr baseColWidth="10" defaultColWidth="12.6640625" defaultRowHeight="15" customHeight="1" x14ac:dyDescent="0.25"/>
  <cols>
    <col min="1" max="1" width="1.6640625" style="103" customWidth="1"/>
    <col min="2" max="2" width="10.6640625" style="104" customWidth="1"/>
    <col min="3" max="3" width="35.6640625" style="103" customWidth="1"/>
    <col min="4" max="4" width="7.6640625" style="103" customWidth="1"/>
    <col min="5" max="9" width="12.6640625" style="122" customWidth="1"/>
    <col min="10" max="10" width="1.6640625" style="103" customWidth="1"/>
    <col min="11" max="16384" width="12.6640625" style="103"/>
  </cols>
  <sheetData>
    <row r="1" spans="2:23" s="105" customFormat="1" ht="30" customHeight="1" thickBot="1" x14ac:dyDescent="0.3">
      <c r="B1" s="714" t="str">
        <f>"RESUMEN DE LA "&amp;'VAL. MENSUAL'!B1</f>
        <v>RESUMEN DE LA VALORIZACIÓN N°02 DEL MES DE JULIO DE 2026</v>
      </c>
      <c r="C1" s="715"/>
      <c r="D1" s="715"/>
      <c r="E1" s="715"/>
      <c r="F1" s="715"/>
      <c r="G1" s="715"/>
      <c r="H1" s="715"/>
      <c r="I1" s="716"/>
      <c r="J1" s="103"/>
      <c r="K1" s="103"/>
    </row>
    <row r="2" spans="2:23" s="185" customFormat="1" ht="30" customHeight="1" x14ac:dyDescent="0.25">
      <c r="B2" s="188" t="s">
        <v>586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106"/>
      <c r="K2" s="106"/>
      <c r="L2" s="106"/>
      <c r="M2" s="106"/>
      <c r="N2" s="106"/>
      <c r="O2" s="106"/>
      <c r="P2" s="106"/>
      <c r="Q2" s="106"/>
      <c r="R2" s="182"/>
      <c r="S2" s="183"/>
      <c r="T2" s="184"/>
      <c r="U2" s="182"/>
      <c r="V2" s="182"/>
      <c r="W2" s="182"/>
    </row>
    <row r="3" spans="2:23" s="185" customFormat="1" ht="15" customHeight="1" x14ac:dyDescent="0.25">
      <c r="B3" s="236" t="s">
        <v>587</v>
      </c>
      <c r="C3" s="103" t="str">
        <f>+FT!$E$4</f>
        <v>MUNICIPALIDAD DISTRITAL DE PILLCO MARCA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82"/>
      <c r="S3" s="183"/>
      <c r="T3" s="184"/>
      <c r="U3" s="182"/>
      <c r="V3" s="182"/>
      <c r="W3" s="182"/>
    </row>
    <row r="4" spans="2:23" s="185" customFormat="1" ht="15" customHeight="1" x14ac:dyDescent="0.25">
      <c r="B4" s="236" t="s">
        <v>583</v>
      </c>
      <c r="C4" s="103" t="str">
        <f>+FT!$E$15</f>
        <v>CONSORCIO EJECUTOR LOS PINOS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82"/>
      <c r="S4" s="183"/>
      <c r="T4" s="184"/>
      <c r="U4" s="182"/>
      <c r="V4" s="182"/>
      <c r="W4" s="182"/>
    </row>
    <row r="5" spans="2:23" s="185" customFormat="1" ht="15" customHeight="1" x14ac:dyDescent="0.25">
      <c r="B5" s="236" t="s">
        <v>630</v>
      </c>
      <c r="C5" s="103" t="str">
        <f>+FT!$E$34</f>
        <v>PROYECTA PCL S.A.C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82"/>
      <c r="S5" s="183"/>
      <c r="T5" s="184"/>
      <c r="U5" s="182"/>
      <c r="V5" s="182"/>
      <c r="W5" s="182"/>
    </row>
    <row r="6" spans="2:23" s="18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82"/>
      <c r="S6" s="183"/>
      <c r="T6" s="184"/>
      <c r="U6" s="182"/>
      <c r="V6" s="182"/>
      <c r="W6" s="182"/>
    </row>
    <row r="7" spans="2:23" s="185" customFormat="1" ht="15" customHeight="1" x14ac:dyDescent="0.25">
      <c r="B7" s="236" t="s">
        <v>631</v>
      </c>
      <c r="C7" s="103" t="str">
        <f>+FT!$E$46</f>
        <v>ING. CESAR RICARDO ZELADA RODRIGUEZ (CIP N°
98469)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82"/>
      <c r="S7" s="183"/>
      <c r="T7" s="184"/>
      <c r="U7" s="182"/>
      <c r="V7" s="182"/>
      <c r="W7" s="182"/>
    </row>
    <row r="8" spans="2:23" s="105" customFormat="1" ht="7.5" customHeight="1" x14ac:dyDescent="0.25"/>
    <row r="9" spans="2:23" s="105" customFormat="1" ht="15" customHeight="1" x14ac:dyDescent="0.25">
      <c r="B9" s="538" t="s">
        <v>117</v>
      </c>
      <c r="C9" s="540" t="s">
        <v>307</v>
      </c>
      <c r="D9" s="540"/>
      <c r="E9" s="539" t="s">
        <v>209</v>
      </c>
      <c r="F9" s="539" t="s">
        <v>160</v>
      </c>
      <c r="G9" s="540" t="s">
        <v>163</v>
      </c>
      <c r="H9" s="539" t="s">
        <v>161</v>
      </c>
      <c r="I9" s="539" t="s">
        <v>308</v>
      </c>
      <c r="J9" s="352"/>
    </row>
    <row r="10" spans="2:23" s="105" customFormat="1" ht="15" customHeight="1" x14ac:dyDescent="0.25">
      <c r="B10" s="538"/>
      <c r="C10" s="540"/>
      <c r="D10" s="540"/>
      <c r="E10" s="539"/>
      <c r="F10" s="539"/>
      <c r="G10" s="540"/>
      <c r="H10" s="539"/>
      <c r="I10" s="539"/>
      <c r="J10" s="352"/>
    </row>
    <row r="11" spans="2:23" s="105" customFormat="1" ht="15" customHeight="1" x14ac:dyDescent="0.25">
      <c r="B11" s="277" t="str">
        <f>+'RESUMEN VAL.'!B12</f>
        <v>01.01</v>
      </c>
      <c r="C11" s="362" t="str">
        <f>+'RESUMEN VAL.'!C12</f>
        <v>OBRAS PROVISIONALES Y TRABAJOS PRELIMINARES</v>
      </c>
      <c r="D11" s="354"/>
      <c r="E11" s="357">
        <f>+'RESUMEN VAL.'!E12</f>
        <v>24540.720000000001</v>
      </c>
      <c r="F11" s="357">
        <v>21290.720000000001</v>
      </c>
      <c r="G11" s="357">
        <f>+'RESUMEN VAL.'!K12</f>
        <v>1560</v>
      </c>
      <c r="H11" s="357">
        <f>+F11+G11</f>
        <v>22850.720000000001</v>
      </c>
      <c r="I11" s="357">
        <f>+E11-H11</f>
        <v>1690</v>
      </c>
      <c r="J11" s="352"/>
    </row>
    <row r="12" spans="2:23" s="105" customFormat="1" ht="15" customHeight="1" x14ac:dyDescent="0.25">
      <c r="B12" s="277" t="str">
        <f>+'RESUMEN VAL.'!B13</f>
        <v>01.02</v>
      </c>
      <c r="C12" s="353" t="str">
        <f>+'RESUMEN VAL.'!C13</f>
        <v>PAVIMENTO RIGIDO</v>
      </c>
      <c r="D12" s="355"/>
      <c r="E12" s="357">
        <f>+'RESUMEN VAL.'!E13</f>
        <v>195936.33</v>
      </c>
      <c r="F12" s="357">
        <v>190783.91999999998</v>
      </c>
      <c r="G12" s="357">
        <f>+'RESUMEN VAL.'!K13</f>
        <v>0</v>
      </c>
      <c r="H12" s="357">
        <f>+F12+G12</f>
        <v>190783.91999999998</v>
      </c>
      <c r="I12" s="357">
        <f t="shared" ref="I12:I48" si="0">+E12-H12</f>
        <v>5152.4100000000035</v>
      </c>
      <c r="J12" s="352"/>
    </row>
    <row r="13" spans="2:23" s="105" customFormat="1" ht="15" customHeight="1" x14ac:dyDescent="0.25">
      <c r="B13" s="277" t="str">
        <f>+'RESUMEN VAL.'!B14</f>
        <v>01.03</v>
      </c>
      <c r="C13" s="353" t="str">
        <f>+'RESUMEN VAL.'!C14</f>
        <v xml:space="preserve">VEREDAS, RAMPAS Y MARTILLOS </v>
      </c>
      <c r="D13" s="355"/>
      <c r="E13" s="357">
        <f>+'RESUMEN VAL.'!E14</f>
        <v>81286.849999999991</v>
      </c>
      <c r="F13" s="357">
        <v>30386.060000000005</v>
      </c>
      <c r="G13" s="357">
        <f>+'RESUMEN VAL.'!K14</f>
        <v>50900.789999999994</v>
      </c>
      <c r="H13" s="357">
        <f>+F13+G13</f>
        <v>81286.850000000006</v>
      </c>
      <c r="I13" s="357">
        <f t="shared" si="0"/>
        <v>0</v>
      </c>
      <c r="J13" s="352"/>
    </row>
    <row r="14" spans="2:23" s="105" customFormat="1" ht="15" customHeight="1" x14ac:dyDescent="0.25">
      <c r="B14" s="277" t="str">
        <f>+'RESUMEN VAL.'!B15</f>
        <v>01.04</v>
      </c>
      <c r="C14" s="353" t="str">
        <f>+'RESUMEN VAL.'!C15</f>
        <v>CUNETA PLUVIAL</v>
      </c>
      <c r="D14" s="355"/>
      <c r="E14" s="357">
        <f>+'RESUMEN VAL.'!E15</f>
        <v>22284.829999999998</v>
      </c>
      <c r="F14" s="357">
        <v>0</v>
      </c>
      <c r="G14" s="357">
        <f>+'RESUMEN VAL.'!K15</f>
        <v>22284.829999999998</v>
      </c>
      <c r="H14" s="357">
        <f>+F14+G14</f>
        <v>22284.829999999998</v>
      </c>
      <c r="I14" s="357">
        <f t="shared" si="0"/>
        <v>0</v>
      </c>
      <c r="J14" s="352"/>
    </row>
    <row r="15" spans="2:23" s="105" customFormat="1" ht="15" customHeight="1" x14ac:dyDescent="0.25">
      <c r="B15" s="277" t="str">
        <f>+'RESUMEN VAL.'!B16</f>
        <v>01.05</v>
      </c>
      <c r="C15" s="353" t="str">
        <f>+'RESUMEN VAL.'!C16</f>
        <v>SARDINELES DE CONCRETO</v>
      </c>
      <c r="D15" s="355"/>
      <c r="E15" s="357">
        <f>+'RESUMEN VAL.'!E16</f>
        <v>41213.67</v>
      </c>
      <c r="F15" s="357">
        <v>0</v>
      </c>
      <c r="G15" s="357">
        <f>+'RESUMEN VAL.'!K16</f>
        <v>41213.67</v>
      </c>
      <c r="H15" s="357">
        <f t="shared" ref="H15:H48" si="1">+F15+G15</f>
        <v>41213.67</v>
      </c>
      <c r="I15" s="357">
        <f t="shared" si="0"/>
        <v>0</v>
      </c>
      <c r="J15" s="352"/>
    </row>
    <row r="16" spans="2:23" s="105" customFormat="1" ht="15" customHeight="1" x14ac:dyDescent="0.25">
      <c r="B16" s="277" t="str">
        <f>+'RESUMEN VAL.'!B17</f>
        <v>01.06</v>
      </c>
      <c r="C16" s="353" t="str">
        <f>+'RESUMEN VAL.'!C17</f>
        <v>MURO DE CONTENCION</v>
      </c>
      <c r="D16" s="355"/>
      <c r="E16" s="357">
        <f>+'RESUMEN VAL.'!E17</f>
        <v>18738.919999999998</v>
      </c>
      <c r="F16" s="357">
        <v>0</v>
      </c>
      <c r="G16" s="357">
        <f>+'RESUMEN VAL.'!K17</f>
        <v>18738.919999999998</v>
      </c>
      <c r="H16" s="357">
        <f t="shared" si="1"/>
        <v>18738.919999999998</v>
      </c>
      <c r="I16" s="357">
        <f t="shared" si="0"/>
        <v>0</v>
      </c>
      <c r="J16" s="352"/>
    </row>
    <row r="17" spans="2:10" s="105" customFormat="1" ht="15" customHeight="1" x14ac:dyDescent="0.25">
      <c r="B17" s="277" t="str">
        <f>+'RESUMEN VAL.'!B18</f>
        <v>01.07</v>
      </c>
      <c r="C17" s="353" t="str">
        <f>+'RESUMEN VAL.'!C18</f>
        <v>GRADERIAS</v>
      </c>
      <c r="D17" s="355"/>
      <c r="E17" s="357">
        <f>+'RESUMEN VAL.'!E18</f>
        <v>6001.05</v>
      </c>
      <c r="F17" s="357">
        <v>2230.7600000000002</v>
      </c>
      <c r="G17" s="357">
        <f>+'RESUMEN VAL.'!K18</f>
        <v>3770.29</v>
      </c>
      <c r="H17" s="357">
        <f t="shared" si="1"/>
        <v>6001.05</v>
      </c>
      <c r="I17" s="357">
        <f t="shared" si="0"/>
        <v>0</v>
      </c>
      <c r="J17" s="352"/>
    </row>
    <row r="18" spans="2:10" s="105" customFormat="1" ht="15" customHeight="1" x14ac:dyDescent="0.25">
      <c r="B18" s="277" t="str">
        <f>+'RESUMEN VAL.'!B19</f>
        <v>01.08</v>
      </c>
      <c r="C18" s="353" t="str">
        <f>+'RESUMEN VAL.'!C19</f>
        <v>JARDINERIA</v>
      </c>
      <c r="D18" s="355"/>
      <c r="E18" s="357">
        <f>+'RESUMEN VAL.'!E19</f>
        <v>18254.61</v>
      </c>
      <c r="F18" s="357">
        <v>0</v>
      </c>
      <c r="G18" s="357">
        <f>+'RESUMEN VAL.'!K19</f>
        <v>18254.61</v>
      </c>
      <c r="H18" s="357">
        <f>+F18+G18</f>
        <v>18254.61</v>
      </c>
      <c r="I18" s="357">
        <f t="shared" si="0"/>
        <v>0</v>
      </c>
      <c r="J18" s="352"/>
    </row>
    <row r="19" spans="2:10" s="105" customFormat="1" ht="15" customHeight="1" x14ac:dyDescent="0.25">
      <c r="B19" s="277" t="str">
        <f>+'RESUMEN VAL.'!B20</f>
        <v>01.09</v>
      </c>
      <c r="C19" s="353" t="str">
        <f>+'RESUMEN VAL.'!C20</f>
        <v>PLANTAS DECORATIVAS</v>
      </c>
      <c r="D19" s="355"/>
      <c r="E19" s="357">
        <f>+'RESUMEN VAL.'!E20</f>
        <v>1224</v>
      </c>
      <c r="F19" s="357">
        <v>0</v>
      </c>
      <c r="G19" s="357">
        <f>+'RESUMEN VAL.'!K20</f>
        <v>1224</v>
      </c>
      <c r="H19" s="357"/>
      <c r="I19" s="357"/>
      <c r="J19" s="352"/>
    </row>
    <row r="20" spans="2:10" s="105" customFormat="1" ht="15" customHeight="1" x14ac:dyDescent="0.25">
      <c r="B20" s="277" t="str">
        <f>+'RESUMEN VAL.'!B21</f>
        <v>01.10</v>
      </c>
      <c r="C20" s="353" t="str">
        <f>+'RESUMEN VAL.'!C21</f>
        <v>OTROS</v>
      </c>
      <c r="D20" s="355"/>
      <c r="E20" s="357">
        <f>+'RESUMEN VAL.'!E21</f>
        <v>10200</v>
      </c>
      <c r="F20" s="357">
        <v>10200</v>
      </c>
      <c r="G20" s="357">
        <f>+'RESUMEN VAL.'!K21</f>
        <v>0</v>
      </c>
      <c r="H20" s="357"/>
      <c r="I20" s="357"/>
      <c r="J20" s="352"/>
    </row>
    <row r="21" spans="2:10" s="105" customFormat="1" ht="15" customHeight="1" x14ac:dyDescent="0.25">
      <c r="B21" s="277" t="str">
        <f>+'RESUMEN VAL.'!B22</f>
        <v>01.11</v>
      </c>
      <c r="C21" s="353" t="str">
        <f>+'RESUMEN VAL.'!C22</f>
        <v>SEGURIDAD Y SALUD</v>
      </c>
      <c r="D21" s="355"/>
      <c r="E21" s="357">
        <f>+'RESUMEN VAL.'!E22</f>
        <v>18340.560000000001</v>
      </c>
      <c r="F21" s="357">
        <v>16380.560000000001</v>
      </c>
      <c r="G21" s="357">
        <f>+'RESUMEN VAL.'!K22</f>
        <v>840</v>
      </c>
      <c r="H21" s="357"/>
      <c r="I21" s="357"/>
      <c r="J21" s="352"/>
    </row>
    <row r="22" spans="2:10" s="105" customFormat="1" ht="15" customHeight="1" x14ac:dyDescent="0.25">
      <c r="B22" s="277" t="str">
        <f>+'RESUMEN VAL.'!B23</f>
        <v>01.12</v>
      </c>
      <c r="C22" s="353" t="str">
        <f>+'RESUMEN VAL.'!C23</f>
        <v>FLETE</v>
      </c>
      <c r="D22" s="355"/>
      <c r="E22" s="357">
        <f>+'RESUMEN VAL.'!E23</f>
        <v>6023</v>
      </c>
      <c r="F22" s="357">
        <v>6023</v>
      </c>
      <c r="G22" s="357">
        <f>+'RESUMEN VAL.'!K23</f>
        <v>0</v>
      </c>
      <c r="H22" s="357"/>
      <c r="I22" s="357"/>
      <c r="J22" s="352"/>
    </row>
    <row r="23" spans="2:10" s="105" customFormat="1" ht="15" customHeight="1" x14ac:dyDescent="0.25">
      <c r="B23" s="277" t="str">
        <f>+'RESUMEN VAL.'!B24</f>
        <v>01.13</v>
      </c>
      <c r="C23" s="353" t="str">
        <f>+'RESUMEN VAL.'!C24</f>
        <v>IMPACTO AMBIENTAL</v>
      </c>
      <c r="D23" s="356"/>
      <c r="E23" s="357">
        <f>+'RESUMEN VAL.'!E24</f>
        <v>18672.730000000003</v>
      </c>
      <c r="F23" s="357">
        <v>12903.65</v>
      </c>
      <c r="G23" s="357">
        <f>+'RESUMEN VAL.'!K24</f>
        <v>3605</v>
      </c>
      <c r="H23" s="357"/>
      <c r="I23" s="357"/>
      <c r="J23" s="352"/>
    </row>
    <row r="24" spans="2:10" s="105" customFormat="1" ht="15" customHeight="1" x14ac:dyDescent="0.25">
      <c r="B24" s="241"/>
      <c r="C24" s="179" t="s">
        <v>4</v>
      </c>
      <c r="D24" s="470"/>
      <c r="E24" s="358">
        <f>ROUND(SUM(E11:E23),2)</f>
        <v>462717.27</v>
      </c>
      <c r="F24" s="358">
        <v>290198.67</v>
      </c>
      <c r="G24" s="358">
        <f>ROUND(SUM(G11:G23),2)</f>
        <v>162392.10999999999</v>
      </c>
      <c r="H24" s="358">
        <f>+F24+G24</f>
        <v>452590.77999999997</v>
      </c>
      <c r="I24" s="358">
        <f t="shared" si="0"/>
        <v>10126.490000000049</v>
      </c>
      <c r="J24" s="352"/>
    </row>
    <row r="25" spans="2:10" s="105" customFormat="1" ht="15" customHeight="1" x14ac:dyDescent="0.25">
      <c r="B25" s="276"/>
      <c r="C25" s="362" t="s">
        <v>41</v>
      </c>
      <c r="D25" s="371">
        <f>+'RESUMEN VAL.'!D26</f>
        <v>0.1</v>
      </c>
      <c r="E25" s="357">
        <f>ROUND($D25*E$24,2)</f>
        <v>46271.73</v>
      </c>
      <c r="F25" s="357">
        <v>29019.87</v>
      </c>
      <c r="G25" s="357">
        <f>ROUND($D25*G$24,2)</f>
        <v>16239.21</v>
      </c>
      <c r="H25" s="357">
        <f>+F25+G25</f>
        <v>45259.08</v>
      </c>
      <c r="I25" s="357">
        <f t="shared" si="0"/>
        <v>1012.6500000000015</v>
      </c>
      <c r="J25" s="352"/>
    </row>
    <row r="26" spans="2:10" s="105" customFormat="1" ht="15" customHeight="1" x14ac:dyDescent="0.25">
      <c r="B26" s="282"/>
      <c r="C26" s="364" t="s">
        <v>99</v>
      </c>
      <c r="D26" s="372">
        <f>+'RESUMEN VAL.'!D27</f>
        <v>7.0000000000000007E-2</v>
      </c>
      <c r="E26" s="357">
        <f>ROUND($D26*E$24,2)</f>
        <v>32390.21</v>
      </c>
      <c r="F26" s="357">
        <v>20313.91</v>
      </c>
      <c r="G26" s="357">
        <f>ROUND($D26*G$24,2)</f>
        <v>11367.45</v>
      </c>
      <c r="H26" s="357">
        <f>+F26+G26</f>
        <v>31681.360000000001</v>
      </c>
      <c r="I26" s="357">
        <f t="shared" si="0"/>
        <v>708.84999999999854</v>
      </c>
      <c r="J26" s="352"/>
    </row>
    <row r="27" spans="2:10" s="105" customFormat="1" ht="15" customHeight="1" x14ac:dyDescent="0.25">
      <c r="B27" s="180"/>
      <c r="C27" s="179" t="s">
        <v>33</v>
      </c>
      <c r="D27" s="370"/>
      <c r="E27" s="359">
        <f>ROUND(E24+E25+E26,2)</f>
        <v>541379.21</v>
      </c>
      <c r="F27" s="359">
        <v>339532.45</v>
      </c>
      <c r="G27" s="359">
        <f t="shared" ref="G27" si="2">ROUND(G24+G25+G26,2)</f>
        <v>189998.77</v>
      </c>
      <c r="H27" s="359">
        <f t="shared" si="1"/>
        <v>529531.22</v>
      </c>
      <c r="I27" s="359">
        <f t="shared" si="0"/>
        <v>11847.989999999991</v>
      </c>
      <c r="J27" s="352"/>
    </row>
    <row r="28" spans="2:10" s="105" customFormat="1" ht="15" customHeight="1" x14ac:dyDescent="0.25">
      <c r="B28" s="180"/>
      <c r="C28" s="369" t="s">
        <v>142</v>
      </c>
      <c r="D28" s="373">
        <v>0.18</v>
      </c>
      <c r="E28" s="357">
        <f>ROUND($D$28*E27,2)</f>
        <v>97448.26</v>
      </c>
      <c r="F28" s="357">
        <v>61115.839999999997</v>
      </c>
      <c r="G28" s="357">
        <f t="shared" ref="G28" si="3">ROUND($D$28*G27,2)</f>
        <v>34199.78</v>
      </c>
      <c r="H28" s="357">
        <f t="shared" si="1"/>
        <v>95315.62</v>
      </c>
      <c r="I28" s="357">
        <f t="shared" si="0"/>
        <v>2132.6399999999994</v>
      </c>
      <c r="J28" s="352"/>
    </row>
    <row r="29" spans="2:10" s="105" customFormat="1" ht="15" customHeight="1" x14ac:dyDescent="0.25">
      <c r="B29" s="180" t="s">
        <v>137</v>
      </c>
      <c r="C29" s="179" t="s">
        <v>309</v>
      </c>
      <c r="D29" s="374">
        <f>+'RESUMEN VAL.'!K31</f>
        <v>0.35099999999999998</v>
      </c>
      <c r="E29" s="358">
        <f>ROUND(E27+E28,2)</f>
        <v>638827.47</v>
      </c>
      <c r="F29" s="358">
        <v>400648.29</v>
      </c>
      <c r="G29" s="358">
        <f t="shared" ref="G29" si="4">ROUND(G27+G28,2)</f>
        <v>224198.55</v>
      </c>
      <c r="H29" s="358">
        <f>+F29+G29</f>
        <v>624846.84</v>
      </c>
      <c r="I29" s="358">
        <f t="shared" si="0"/>
        <v>13980.630000000005</v>
      </c>
      <c r="J29" s="352"/>
    </row>
    <row r="30" spans="2:10" s="105" customFormat="1" ht="15" customHeight="1" x14ac:dyDescent="0.25">
      <c r="B30" s="180" t="s">
        <v>146</v>
      </c>
      <c r="C30" s="179" t="s">
        <v>162</v>
      </c>
      <c r="D30" s="361"/>
      <c r="E30" s="360">
        <f>+E31+E32</f>
        <v>0</v>
      </c>
      <c r="F30" s="360">
        <v>0</v>
      </c>
      <c r="G30" s="360">
        <f t="shared" ref="G30" si="5">+G31-G32</f>
        <v>0</v>
      </c>
      <c r="H30" s="360">
        <f t="shared" si="1"/>
        <v>0</v>
      </c>
      <c r="I30" s="360">
        <f t="shared" si="0"/>
        <v>0</v>
      </c>
      <c r="J30" s="352"/>
    </row>
    <row r="31" spans="2:10" s="105" customFormat="1" ht="15" customHeight="1" x14ac:dyDescent="0.25">
      <c r="B31" s="284"/>
      <c r="C31" s="362" t="s">
        <v>154</v>
      </c>
      <c r="D31" s="363"/>
      <c r="E31" s="357">
        <v>0</v>
      </c>
      <c r="F31" s="357">
        <v>0</v>
      </c>
      <c r="G31" s="357">
        <v>0</v>
      </c>
      <c r="H31" s="357">
        <f t="shared" si="1"/>
        <v>0</v>
      </c>
      <c r="I31" s="357">
        <f t="shared" si="0"/>
        <v>0</v>
      </c>
      <c r="J31" s="352"/>
    </row>
    <row r="32" spans="2:10" s="105" customFormat="1" ht="15" customHeight="1" x14ac:dyDescent="0.25">
      <c r="B32" s="286"/>
      <c r="C32" s="364" t="s">
        <v>155</v>
      </c>
      <c r="D32" s="365"/>
      <c r="E32" s="357">
        <v>0</v>
      </c>
      <c r="F32" s="357">
        <v>0</v>
      </c>
      <c r="G32" s="357">
        <v>0</v>
      </c>
      <c r="H32" s="357">
        <f t="shared" si="1"/>
        <v>0</v>
      </c>
      <c r="I32" s="357">
        <f t="shared" si="0"/>
        <v>0</v>
      </c>
      <c r="J32" s="352"/>
    </row>
    <row r="33" spans="2:10" s="105" customFormat="1" ht="15" customHeight="1" x14ac:dyDescent="0.25">
      <c r="B33" s="180" t="s">
        <v>147</v>
      </c>
      <c r="C33" s="179" t="s">
        <v>219</v>
      </c>
      <c r="D33" s="366" t="s">
        <v>220</v>
      </c>
      <c r="E33" s="358">
        <f>+E29+E30</f>
        <v>638827.47</v>
      </c>
      <c r="F33" s="358">
        <v>400648.29</v>
      </c>
      <c r="G33" s="358">
        <f t="shared" ref="G33" si="6">+G29+G30</f>
        <v>224198.55</v>
      </c>
      <c r="H33" s="358">
        <f t="shared" si="1"/>
        <v>624846.84</v>
      </c>
      <c r="I33" s="358">
        <f t="shared" si="0"/>
        <v>13980.630000000005</v>
      </c>
      <c r="J33" s="352"/>
    </row>
    <row r="34" spans="2:10" s="105" customFormat="1" ht="15" customHeight="1" x14ac:dyDescent="0.25">
      <c r="B34" s="180" t="s">
        <v>125</v>
      </c>
      <c r="C34" s="179" t="s">
        <v>143</v>
      </c>
      <c r="D34" s="361"/>
      <c r="E34" s="360">
        <f>+E35+E36</f>
        <v>0</v>
      </c>
      <c r="F34" s="360">
        <v>0</v>
      </c>
      <c r="G34" s="360">
        <f>+G35+G36</f>
        <v>0</v>
      </c>
      <c r="H34" s="360">
        <f t="shared" si="1"/>
        <v>0</v>
      </c>
      <c r="I34" s="360">
        <f t="shared" si="0"/>
        <v>0</v>
      </c>
      <c r="J34" s="352"/>
    </row>
    <row r="35" spans="2:10" s="105" customFormat="1" ht="15" customHeight="1" x14ac:dyDescent="0.25">
      <c r="B35" s="270"/>
      <c r="C35" s="362" t="s">
        <v>138</v>
      </c>
      <c r="D35" s="367" t="s">
        <v>105</v>
      </c>
      <c r="E35" s="357">
        <v>0</v>
      </c>
      <c r="F35" s="357">
        <v>0</v>
      </c>
      <c r="G35" s="357">
        <v>0</v>
      </c>
      <c r="H35" s="357">
        <f t="shared" si="1"/>
        <v>0</v>
      </c>
      <c r="I35" s="357">
        <f t="shared" si="0"/>
        <v>0</v>
      </c>
      <c r="J35" s="352"/>
    </row>
    <row r="36" spans="2:10" s="105" customFormat="1" ht="15" customHeight="1" x14ac:dyDescent="0.25">
      <c r="B36" s="274"/>
      <c r="C36" s="364" t="s">
        <v>139</v>
      </c>
      <c r="D36" s="368" t="s">
        <v>105</v>
      </c>
      <c r="E36" s="357">
        <v>0</v>
      </c>
      <c r="F36" s="357">
        <v>0</v>
      </c>
      <c r="G36" s="357">
        <v>0</v>
      </c>
      <c r="H36" s="357">
        <f t="shared" si="1"/>
        <v>0</v>
      </c>
      <c r="I36" s="357">
        <f t="shared" si="0"/>
        <v>0</v>
      </c>
      <c r="J36" s="352"/>
    </row>
    <row r="37" spans="2:10" s="105" customFormat="1" ht="15" customHeight="1" x14ac:dyDescent="0.25">
      <c r="B37" s="180" t="s">
        <v>148</v>
      </c>
      <c r="C37" s="179" t="s">
        <v>144</v>
      </c>
      <c r="D37" s="361"/>
      <c r="E37" s="360">
        <f>+E38+E39</f>
        <v>0</v>
      </c>
      <c r="F37" s="360">
        <v>0</v>
      </c>
      <c r="G37" s="360">
        <f>+G38+G39</f>
        <v>0</v>
      </c>
      <c r="H37" s="360">
        <f t="shared" si="1"/>
        <v>0</v>
      </c>
      <c r="I37" s="360">
        <f t="shared" si="0"/>
        <v>0</v>
      </c>
      <c r="J37" s="352"/>
    </row>
    <row r="38" spans="2:10" s="105" customFormat="1" ht="15" customHeight="1" x14ac:dyDescent="0.25">
      <c r="B38" s="270"/>
      <c r="C38" s="362" t="s">
        <v>138</v>
      </c>
      <c r="D38" s="367" t="s">
        <v>105</v>
      </c>
      <c r="E38" s="357">
        <v>0</v>
      </c>
      <c r="F38" s="357">
        <v>0</v>
      </c>
      <c r="G38" s="357">
        <v>0</v>
      </c>
      <c r="H38" s="357">
        <f t="shared" si="1"/>
        <v>0</v>
      </c>
      <c r="I38" s="357">
        <f t="shared" si="0"/>
        <v>0</v>
      </c>
      <c r="J38" s="352"/>
    </row>
    <row r="39" spans="2:10" s="105" customFormat="1" ht="15" customHeight="1" x14ac:dyDescent="0.25">
      <c r="B39" s="274"/>
      <c r="C39" s="364" t="s">
        <v>139</v>
      </c>
      <c r="D39" s="368" t="s">
        <v>105</v>
      </c>
      <c r="E39" s="357">
        <v>0</v>
      </c>
      <c r="F39" s="357">
        <v>0</v>
      </c>
      <c r="G39" s="357">
        <v>0</v>
      </c>
      <c r="H39" s="357">
        <f t="shared" si="1"/>
        <v>0</v>
      </c>
      <c r="I39" s="357">
        <f t="shared" si="0"/>
        <v>0</v>
      </c>
      <c r="J39" s="352"/>
    </row>
    <row r="40" spans="2:10" s="105" customFormat="1" ht="15" customHeight="1" x14ac:dyDescent="0.25">
      <c r="B40" s="180" t="s">
        <v>134</v>
      </c>
      <c r="C40" s="179" t="s">
        <v>303</v>
      </c>
      <c r="D40" s="366" t="s">
        <v>216</v>
      </c>
      <c r="E40" s="358">
        <f>+E33+E34+E37</f>
        <v>638827.47</v>
      </c>
      <c r="F40" s="358">
        <v>400648.29</v>
      </c>
      <c r="G40" s="358">
        <f>+G33+G34+G37</f>
        <v>224198.55</v>
      </c>
      <c r="H40" s="358">
        <f t="shared" si="1"/>
        <v>624846.84</v>
      </c>
      <c r="I40" s="358">
        <f t="shared" si="0"/>
        <v>13980.630000000005</v>
      </c>
      <c r="J40" s="352"/>
    </row>
    <row r="41" spans="2:10" s="105" customFormat="1" ht="15" customHeight="1" x14ac:dyDescent="0.25">
      <c r="B41" s="180" t="s">
        <v>149</v>
      </c>
      <c r="C41" s="179" t="s">
        <v>136</v>
      </c>
      <c r="D41" s="361"/>
      <c r="E41" s="360">
        <f>+E42+E43</f>
        <v>89435.75</v>
      </c>
      <c r="F41" s="360">
        <v>79908.75</v>
      </c>
      <c r="G41" s="360">
        <f>+G42+G43</f>
        <v>8968</v>
      </c>
      <c r="H41" s="360">
        <f t="shared" si="1"/>
        <v>88876.75</v>
      </c>
      <c r="I41" s="360">
        <f>+E41-H41</f>
        <v>559</v>
      </c>
      <c r="J41" s="352"/>
    </row>
    <row r="42" spans="2:10" s="105" customFormat="1" ht="15" customHeight="1" x14ac:dyDescent="0.25">
      <c r="B42" s="180"/>
      <c r="C42" s="369" t="s">
        <v>140</v>
      </c>
      <c r="D42" s="370" t="s">
        <v>105</v>
      </c>
      <c r="E42" s="357">
        <f>+'R.F.C'!D21</f>
        <v>63882.75</v>
      </c>
      <c r="F42" s="357">
        <v>63882.75</v>
      </c>
      <c r="G42" s="357">
        <f>+'R.F.C'!F33</f>
        <v>0</v>
      </c>
      <c r="H42" s="357">
        <f t="shared" si="1"/>
        <v>63882.75</v>
      </c>
      <c r="I42" s="357">
        <f t="shared" si="0"/>
        <v>0</v>
      </c>
      <c r="J42" s="352"/>
    </row>
    <row r="43" spans="2:10" s="105" customFormat="1" ht="15" customHeight="1" x14ac:dyDescent="0.25">
      <c r="B43" s="180"/>
      <c r="C43" s="369" t="s">
        <v>272</v>
      </c>
      <c r="D43" s="370"/>
      <c r="E43" s="357">
        <f>ROUND(E40*4%,0)</f>
        <v>25553</v>
      </c>
      <c r="F43" s="357">
        <v>16026</v>
      </c>
      <c r="G43" s="357">
        <f>ROUND(G40*4%,0)</f>
        <v>8968</v>
      </c>
      <c r="H43" s="357">
        <f>+F43+G43</f>
        <v>24994</v>
      </c>
      <c r="I43" s="357">
        <f>+E43-H43</f>
        <v>559</v>
      </c>
      <c r="J43" s="352"/>
    </row>
    <row r="44" spans="2:10" s="105" customFormat="1" ht="15" customHeight="1" x14ac:dyDescent="0.25">
      <c r="B44" s="180" t="s">
        <v>150</v>
      </c>
      <c r="C44" s="179" t="s">
        <v>106</v>
      </c>
      <c r="D44" s="361"/>
      <c r="E44" s="360">
        <f>+E45+E46</f>
        <v>0</v>
      </c>
      <c r="F44" s="360">
        <v>0</v>
      </c>
      <c r="G44" s="360">
        <f>+G45+G46</f>
        <v>0</v>
      </c>
      <c r="H44" s="360">
        <f t="shared" si="1"/>
        <v>0</v>
      </c>
      <c r="I44" s="360">
        <f t="shared" si="0"/>
        <v>0</v>
      </c>
      <c r="J44" s="352"/>
    </row>
    <row r="45" spans="2:10" s="105" customFormat="1" ht="15" customHeight="1" x14ac:dyDescent="0.25">
      <c r="B45" s="276"/>
      <c r="C45" s="362" t="s">
        <v>141</v>
      </c>
      <c r="D45" s="367" t="s">
        <v>105</v>
      </c>
      <c r="E45" s="357">
        <v>0</v>
      </c>
      <c r="F45" s="357">
        <v>0</v>
      </c>
      <c r="G45" s="357">
        <v>0</v>
      </c>
      <c r="H45" s="357">
        <f t="shared" si="1"/>
        <v>0</v>
      </c>
      <c r="I45" s="357">
        <f t="shared" si="0"/>
        <v>0</v>
      </c>
      <c r="J45" s="352"/>
    </row>
    <row r="46" spans="2:10" s="105" customFormat="1" ht="15" customHeight="1" x14ac:dyDescent="0.25">
      <c r="B46" s="274"/>
      <c r="C46" s="364" t="s">
        <v>109</v>
      </c>
      <c r="D46" s="368" t="s">
        <v>105</v>
      </c>
      <c r="E46" s="357">
        <v>0</v>
      </c>
      <c r="F46" s="357">
        <v>0</v>
      </c>
      <c r="G46" s="357">
        <v>0</v>
      </c>
      <c r="H46" s="357">
        <f t="shared" si="1"/>
        <v>0</v>
      </c>
      <c r="I46" s="357">
        <f t="shared" si="0"/>
        <v>0</v>
      </c>
      <c r="J46" s="352"/>
    </row>
    <row r="47" spans="2:10" s="105" customFormat="1" ht="15" customHeight="1" x14ac:dyDescent="0.25">
      <c r="B47" s="180" t="s">
        <v>124</v>
      </c>
      <c r="C47" s="179" t="s">
        <v>156</v>
      </c>
      <c r="D47" s="366" t="s">
        <v>217</v>
      </c>
      <c r="E47" s="358">
        <f>+E40</f>
        <v>638827.47</v>
      </c>
      <c r="F47" s="358">
        <v>400648.29</v>
      </c>
      <c r="G47" s="358">
        <f>+G40</f>
        <v>224198.55</v>
      </c>
      <c r="H47" s="358">
        <f t="shared" si="1"/>
        <v>624846.84</v>
      </c>
      <c r="I47" s="358">
        <f t="shared" si="0"/>
        <v>13980.630000000005</v>
      </c>
      <c r="J47" s="352"/>
    </row>
    <row r="48" spans="2:10" s="105" customFormat="1" ht="15" customHeight="1" x14ac:dyDescent="0.25">
      <c r="B48" s="180" t="s">
        <v>133</v>
      </c>
      <c r="C48" s="179" t="s">
        <v>157</v>
      </c>
      <c r="D48" s="366" t="s">
        <v>218</v>
      </c>
      <c r="E48" s="358">
        <f>+E40-E41-E44</f>
        <v>549391.72</v>
      </c>
      <c r="F48" s="358">
        <v>320739.53999999998</v>
      </c>
      <c r="G48" s="358">
        <f>+G40-G41-G44</f>
        <v>215230.55</v>
      </c>
      <c r="H48" s="358">
        <f t="shared" si="1"/>
        <v>535970.09</v>
      </c>
      <c r="I48" s="358">
        <f t="shared" si="0"/>
        <v>13421.630000000005</v>
      </c>
      <c r="J48" s="352"/>
    </row>
    <row r="49" spans="2:11" s="105" customFormat="1" ht="15" customHeight="1" x14ac:dyDescent="0.25"/>
    <row r="50" spans="2:11" ht="15" customHeight="1" x14ac:dyDescent="0.25">
      <c r="B50" s="507" t="str">
        <f>+'R PAGO MENSUAL'!B50</f>
        <v>El monto a facturar por el contratista ejecutor CONSORCIO EJECUTOR LOS PINOS en la presente VALORIZACIÓN N°02 DEL MES DE JULIO DE 2026, asciende a la suma de S/ 224,198.55 (Doscientos Veinticuatro Mil Ciento Noventa y Ocho con 55/100 soles) incluido IGV.</v>
      </c>
      <c r="C50" s="507"/>
      <c r="D50" s="507"/>
      <c r="E50" s="507"/>
      <c r="F50" s="507"/>
      <c r="G50" s="507"/>
      <c r="H50" s="507"/>
      <c r="I50" s="507"/>
    </row>
    <row r="51" spans="2:11" s="105" customFormat="1" ht="15" customHeight="1" x14ac:dyDescent="0.25">
      <c r="B51" s="507"/>
      <c r="C51" s="507"/>
      <c r="D51" s="507"/>
      <c r="E51" s="507"/>
      <c r="F51" s="507"/>
      <c r="G51" s="507"/>
      <c r="H51" s="507"/>
      <c r="I51" s="507"/>
      <c r="J51" s="103"/>
      <c r="K51" s="103"/>
    </row>
    <row r="52" spans="2:11" s="105" customFormat="1" ht="15" customHeight="1" x14ac:dyDescent="0.25">
      <c r="B52" s="104"/>
      <c r="C52" s="103"/>
      <c r="D52" s="103"/>
      <c r="E52" s="122"/>
      <c r="F52" s="122"/>
      <c r="G52" s="122"/>
      <c r="H52" s="122"/>
      <c r="I52" s="122"/>
      <c r="J52" s="103"/>
      <c r="K52" s="103"/>
    </row>
    <row r="53" spans="2:11" s="105" customFormat="1" ht="15" customHeight="1" x14ac:dyDescent="0.25">
      <c r="B53" s="104"/>
      <c r="C53" s="103"/>
      <c r="D53" s="103"/>
      <c r="E53" s="122"/>
      <c r="F53" s="122"/>
      <c r="G53" s="122"/>
      <c r="H53" s="122"/>
      <c r="I53" s="122"/>
      <c r="J53" s="103"/>
      <c r="K53" s="103"/>
    </row>
    <row r="54" spans="2:11" s="105" customFormat="1" ht="15" customHeight="1" x14ac:dyDescent="0.25">
      <c r="B54" s="104"/>
      <c r="C54" s="103"/>
      <c r="J54" s="103"/>
      <c r="K54" s="103"/>
    </row>
    <row r="57" spans="2:11" ht="15" customHeight="1" x14ac:dyDescent="0.25">
      <c r="E57" s="103"/>
      <c r="F57" s="103"/>
      <c r="G57" s="103"/>
      <c r="H57" s="103"/>
      <c r="I57" s="103"/>
    </row>
    <row r="58" spans="2:11" ht="15" customHeight="1" x14ac:dyDescent="0.25">
      <c r="E58" s="103"/>
      <c r="F58" s="103"/>
      <c r="G58" s="103"/>
      <c r="H58" s="103"/>
      <c r="I58" s="103"/>
    </row>
    <row r="59" spans="2:11" ht="15" customHeight="1" x14ac:dyDescent="0.25">
      <c r="E59" s="103"/>
      <c r="F59" s="103"/>
      <c r="G59" s="103"/>
      <c r="H59" s="103"/>
      <c r="I59" s="103"/>
    </row>
    <row r="60" spans="2:11" ht="15" customHeight="1" x14ac:dyDescent="0.25">
      <c r="E60" s="103"/>
      <c r="F60" s="103"/>
      <c r="G60" s="103"/>
      <c r="H60" s="103"/>
      <c r="I60" s="103"/>
    </row>
    <row r="61" spans="2:11" ht="15" customHeight="1" x14ac:dyDescent="0.25">
      <c r="E61" s="103"/>
      <c r="F61" s="103"/>
      <c r="G61" s="103"/>
      <c r="H61" s="103"/>
      <c r="I61" s="103"/>
    </row>
  </sheetData>
  <mergeCells count="10">
    <mergeCell ref="B9:B10"/>
    <mergeCell ref="H9:H10"/>
    <mergeCell ref="B50:I51"/>
    <mergeCell ref="C2:I2"/>
    <mergeCell ref="B1:I1"/>
    <mergeCell ref="I9:I10"/>
    <mergeCell ref="C9:D10"/>
    <mergeCell ref="E9:E10"/>
    <mergeCell ref="F9:F10"/>
    <mergeCell ref="G9:G10"/>
  </mergeCells>
  <printOptions horizontalCentered="1"/>
  <pageMargins left="0.78740157480314965" right="0.59055118110236227" top="0.59055118110236227" bottom="0.59055118110236227" header="0.31496062992125984" footer="0.31496062992125984"/>
  <pageSetup paperSize="9" scale="7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274F-8258-4FFE-863B-7415703538C0}">
  <sheetPr>
    <tabColor rgb="FFFFFF00"/>
    <pageSetUpPr fitToPage="1"/>
  </sheetPr>
  <dimension ref="B1:V598"/>
  <sheetViews>
    <sheetView view="pageBreakPreview" topLeftCell="A22" zoomScale="90" zoomScaleNormal="100" zoomScaleSheetLayoutView="90" workbookViewId="0">
      <selection activeCell="F29" sqref="F29"/>
    </sheetView>
  </sheetViews>
  <sheetFormatPr baseColWidth="10" defaultColWidth="15.6640625" defaultRowHeight="15" x14ac:dyDescent="0.25"/>
  <cols>
    <col min="1" max="1" width="1.6640625" style="103" customWidth="1"/>
    <col min="2" max="2" width="11.6640625" style="104" customWidth="1"/>
    <col min="3" max="4" width="15.6640625" style="103" customWidth="1"/>
    <col min="5" max="5" width="13.33203125" style="103" bestFit="1" customWidth="1"/>
    <col min="6" max="8" width="13.6640625" style="123" customWidth="1"/>
    <col min="9" max="10" width="13.6640625" style="103" customWidth="1"/>
    <col min="11" max="12" width="16.6640625" style="119" customWidth="1"/>
    <col min="13" max="13" width="10.6640625" style="103" hidden="1" customWidth="1"/>
    <col min="14" max="14" width="9.6640625" style="103" hidden="1" customWidth="1"/>
    <col min="15" max="15" width="15.6640625" style="122"/>
    <col min="16" max="16" width="12.6640625" style="103" customWidth="1"/>
    <col min="17" max="17" width="15.6640625" style="103"/>
    <col min="18" max="18" width="12.6640625" style="103" customWidth="1"/>
    <col min="19" max="19" width="0.88671875" style="105" customWidth="1"/>
    <col min="20" max="20" width="15.6640625" style="105"/>
    <col min="21" max="16384" width="15.6640625" style="103"/>
  </cols>
  <sheetData>
    <row r="1" spans="2:22" s="185" customFormat="1" ht="30" customHeight="1" thickBot="1" x14ac:dyDescent="0.3">
      <c r="B1" s="714" t="s">
        <v>304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844"/>
      <c r="Q1" s="845"/>
      <c r="R1" s="846"/>
      <c r="S1" s="184"/>
      <c r="T1" s="182"/>
      <c r="U1" s="182"/>
      <c r="V1" s="182"/>
    </row>
    <row r="2" spans="2:22" s="185" customFormat="1" ht="15" customHeight="1" x14ac:dyDescent="0.25">
      <c r="B2" s="188" t="str">
        <f>+FT!$C$5</f>
        <v>Obra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106"/>
      <c r="Q2" s="182"/>
      <c r="R2" s="183"/>
      <c r="S2" s="184"/>
      <c r="T2" s="182"/>
      <c r="U2" s="182"/>
      <c r="V2" s="182"/>
    </row>
    <row r="3" spans="2:22" s="185" customFormat="1" ht="15" customHeight="1" x14ac:dyDescent="0.25">
      <c r="B3" s="188" t="s">
        <v>587</v>
      </c>
      <c r="C3" s="103" t="str">
        <f>+FT!$E$4</f>
        <v>MUNICIPALIDAD DISTRITAL DE PILLCO MARCA</v>
      </c>
      <c r="D3" s="103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82"/>
      <c r="R3" s="183"/>
      <c r="S3" s="184"/>
      <c r="T3" s="182"/>
      <c r="U3" s="182"/>
      <c r="V3" s="182"/>
    </row>
    <row r="4" spans="2:22" s="185" customFormat="1" ht="15" customHeight="1" x14ac:dyDescent="0.25">
      <c r="B4" s="236" t="s">
        <v>583</v>
      </c>
      <c r="C4" s="103" t="str">
        <f>+FT!$E$15</f>
        <v>CONSORCIO EJECUTOR LOS PINOS</v>
      </c>
      <c r="D4" s="103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82"/>
      <c r="R4" s="183"/>
      <c r="S4" s="184"/>
      <c r="T4" s="182"/>
      <c r="U4" s="182"/>
      <c r="V4" s="182"/>
    </row>
    <row r="5" spans="2:22" s="185" customFormat="1" ht="15" customHeight="1" x14ac:dyDescent="0.25">
      <c r="B5" s="236" t="s">
        <v>630</v>
      </c>
      <c r="C5" s="103" t="str">
        <f>+FT!$E$34</f>
        <v>PROYECTA PCL S.A.C</v>
      </c>
      <c r="D5" s="103"/>
      <c r="E5" s="106"/>
      <c r="F5" s="104" t="s">
        <v>212</v>
      </c>
      <c r="H5" s="251">
        <f>+FT!$E$24</f>
        <v>638827.47</v>
      </c>
      <c r="I5" s="106"/>
      <c r="J5" s="106"/>
      <c r="K5" s="106"/>
      <c r="L5" s="106"/>
      <c r="M5" s="106"/>
      <c r="N5" s="106"/>
      <c r="O5" s="106"/>
      <c r="P5" s="106"/>
      <c r="Q5" s="182"/>
      <c r="R5" s="183"/>
      <c r="S5" s="184"/>
      <c r="T5" s="182"/>
      <c r="U5" s="182"/>
      <c r="V5" s="182"/>
    </row>
    <row r="6" spans="2:22" s="185" customFormat="1" ht="15" customHeight="1" x14ac:dyDescent="0.25">
      <c r="B6" s="236" t="s">
        <v>588</v>
      </c>
      <c r="C6" s="103" t="str">
        <f>+FT!$E$32</f>
        <v>ING. RAMIREZ BLANCO GABRIEL AUGUSTO HERMOGENES</v>
      </c>
      <c r="D6" s="103"/>
      <c r="E6" s="106"/>
      <c r="F6" s="104" t="s">
        <v>215</v>
      </c>
      <c r="H6" s="251">
        <f>+FT!$E$25</f>
        <v>638827.47</v>
      </c>
      <c r="I6" s="106"/>
      <c r="J6" s="106"/>
      <c r="K6" s="106"/>
      <c r="L6" s="106"/>
      <c r="M6" s="106"/>
      <c r="N6" s="106"/>
      <c r="O6" s="106"/>
      <c r="P6" s="106"/>
      <c r="Q6" s="182"/>
      <c r="R6" s="183"/>
      <c r="S6" s="184"/>
      <c r="T6" s="182"/>
      <c r="U6" s="182"/>
      <c r="V6" s="182"/>
    </row>
    <row r="7" spans="2:22" s="185" customFormat="1" ht="15" customHeight="1" x14ac:dyDescent="0.25">
      <c r="B7" s="786" t="s">
        <v>631</v>
      </c>
      <c r="C7" s="156" t="str">
        <f>+FT!$E$46</f>
        <v>ING. CESAR RICARDO ZELADA RODRIGUEZ (CIP N°
98469)</v>
      </c>
      <c r="D7" s="156"/>
      <c r="E7" s="155"/>
      <c r="F7" s="156" t="s">
        <v>214</v>
      </c>
      <c r="G7" s="346"/>
      <c r="H7" s="156" t="str">
        <f>+FT!$E$31</f>
        <v>SESENTA (60) DÍAS CALENDARIOS</v>
      </c>
      <c r="I7" s="155"/>
      <c r="J7" s="155"/>
      <c r="K7" s="155"/>
      <c r="L7" s="155"/>
      <c r="M7" s="155"/>
      <c r="N7" s="155"/>
      <c r="O7" s="155"/>
      <c r="P7" s="155"/>
      <c r="Q7" s="347"/>
      <c r="R7" s="348"/>
      <c r="S7" s="184"/>
      <c r="T7" s="182"/>
      <c r="U7" s="182"/>
      <c r="V7" s="182"/>
    </row>
    <row r="8" spans="2:22" s="105" customFormat="1" ht="7.5" customHeight="1" x14ac:dyDescent="0.25">
      <c r="B8" s="154"/>
      <c r="C8" s="154"/>
      <c r="D8" s="154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03"/>
      <c r="Q8" s="119"/>
      <c r="R8" s="119"/>
    </row>
    <row r="9" spans="2:22" s="105" customFormat="1" ht="15" customHeight="1" thickBot="1" x14ac:dyDescent="0.3">
      <c r="B9" s="236" t="s">
        <v>273</v>
      </c>
      <c r="C9" s="103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</row>
    <row r="10" spans="2:22" ht="15" customHeight="1" x14ac:dyDescent="0.25">
      <c r="B10" s="699" t="s">
        <v>274</v>
      </c>
      <c r="C10" s="700"/>
      <c r="D10" s="700"/>
      <c r="E10" s="700"/>
      <c r="F10" s="866" t="s">
        <v>130</v>
      </c>
      <c r="G10" s="866" t="s">
        <v>129</v>
      </c>
      <c r="H10" s="866"/>
      <c r="I10" s="866" t="s">
        <v>301</v>
      </c>
      <c r="J10" s="867" t="s">
        <v>275</v>
      </c>
      <c r="K10" s="867" t="s">
        <v>106</v>
      </c>
      <c r="L10" s="867" t="s">
        <v>271</v>
      </c>
      <c r="M10" s="868" t="s">
        <v>276</v>
      </c>
      <c r="N10" s="869"/>
      <c r="O10" s="870"/>
      <c r="P10" s="866" t="s">
        <v>277</v>
      </c>
      <c r="Q10" s="866"/>
      <c r="R10" s="871"/>
    </row>
    <row r="11" spans="2:22" ht="15" customHeight="1" x14ac:dyDescent="0.25">
      <c r="B11" s="872" t="s">
        <v>278</v>
      </c>
      <c r="C11" s="873" t="s">
        <v>58</v>
      </c>
      <c r="D11" s="874" t="s">
        <v>19</v>
      </c>
      <c r="E11" s="874" t="s">
        <v>279</v>
      </c>
      <c r="F11" s="875"/>
      <c r="G11" s="874" t="s">
        <v>280</v>
      </c>
      <c r="H11" s="874" t="s">
        <v>281</v>
      </c>
      <c r="I11" s="875"/>
      <c r="J11" s="876"/>
      <c r="K11" s="876"/>
      <c r="L11" s="876"/>
      <c r="M11" s="877"/>
      <c r="N11" s="878"/>
      <c r="O11" s="879"/>
      <c r="P11" s="875" t="s">
        <v>283</v>
      </c>
      <c r="Q11" s="875" t="s">
        <v>284</v>
      </c>
      <c r="R11" s="880" t="s">
        <v>285</v>
      </c>
    </row>
    <row r="12" spans="2:22" ht="15" customHeight="1" thickBot="1" x14ac:dyDescent="0.3">
      <c r="B12" s="701"/>
      <c r="C12" s="702"/>
      <c r="D12" s="881" t="s">
        <v>286</v>
      </c>
      <c r="E12" s="881" t="s">
        <v>287</v>
      </c>
      <c r="F12" s="881" t="s">
        <v>288</v>
      </c>
      <c r="G12" s="881" t="s">
        <v>289</v>
      </c>
      <c r="H12" s="881" t="s">
        <v>290</v>
      </c>
      <c r="I12" s="881" t="s">
        <v>291</v>
      </c>
      <c r="J12" s="881" t="s">
        <v>292</v>
      </c>
      <c r="K12" s="881" t="s">
        <v>293</v>
      </c>
      <c r="L12" s="881" t="s">
        <v>289</v>
      </c>
      <c r="M12" s="882"/>
      <c r="N12" s="883"/>
      <c r="O12" s="884"/>
      <c r="P12" s="885"/>
      <c r="Q12" s="885"/>
      <c r="R12" s="886"/>
    </row>
    <row r="13" spans="2:22" ht="30" customHeight="1" x14ac:dyDescent="0.25">
      <c r="B13" s="291">
        <v>1</v>
      </c>
      <c r="C13" s="847">
        <f>+'CONTROL GEN. AVAN. OBRA.'!C11</f>
        <v>46174</v>
      </c>
      <c r="D13" s="848">
        <f>+'CONTROL GEN. AVAN. OBRA.'!H11</f>
        <v>400648.29</v>
      </c>
      <c r="E13" s="848">
        <v>0</v>
      </c>
      <c r="F13" s="848">
        <f>+D13+E13</f>
        <v>400648.29</v>
      </c>
      <c r="G13" s="848">
        <v>0</v>
      </c>
      <c r="H13" s="848">
        <v>0</v>
      </c>
      <c r="I13" s="848">
        <f>+F13-(G13+H13)</f>
        <v>400648.29</v>
      </c>
      <c r="J13" s="848">
        <f>+'R.F.C'!F24</f>
        <v>63882.75</v>
      </c>
      <c r="K13" s="848">
        <v>0</v>
      </c>
      <c r="L13" s="848">
        <f>ROUND(I13*4%,0)</f>
        <v>16026</v>
      </c>
      <c r="M13" s="848">
        <f>ROUND(O13/1.18,2)</f>
        <v>271813.17</v>
      </c>
      <c r="N13" s="848">
        <f>+O13-M13</f>
        <v>48926.369999999995</v>
      </c>
      <c r="O13" s="848">
        <f>+I13-(J13+K13+L13)</f>
        <v>320739.53999999998</v>
      </c>
      <c r="P13" s="849"/>
      <c r="Q13" s="292"/>
      <c r="R13" s="850"/>
    </row>
    <row r="14" spans="2:22" ht="30" customHeight="1" x14ac:dyDescent="0.25">
      <c r="B14" s="860">
        <v>2</v>
      </c>
      <c r="C14" s="861">
        <f>+'CONTROL GEN. AVAN. OBRA.'!C12</f>
        <v>46204</v>
      </c>
      <c r="D14" s="862">
        <f>+'CONTROL GEN. AVAN. OBRA.'!H12</f>
        <v>224198.55</v>
      </c>
      <c r="E14" s="862">
        <v>0</v>
      </c>
      <c r="F14" s="862">
        <f t="shared" ref="F14:F15" si="0">+D14+E14</f>
        <v>224198.55</v>
      </c>
      <c r="G14" s="862">
        <v>0</v>
      </c>
      <c r="H14" s="862">
        <v>0</v>
      </c>
      <c r="I14" s="862">
        <f t="shared" ref="I14:I15" si="1">+F14-(G14+H14)</f>
        <v>224198.55</v>
      </c>
      <c r="J14" s="862">
        <v>0</v>
      </c>
      <c r="K14" s="862">
        <v>0</v>
      </c>
      <c r="L14" s="862">
        <f t="shared" ref="L14:L15" si="2">ROUND(I14*4%,0)</f>
        <v>8968</v>
      </c>
      <c r="M14" s="862">
        <f>ROUND(O14/1.18,2)</f>
        <v>182398.77</v>
      </c>
      <c r="N14" s="862">
        <f>+O14-M14</f>
        <v>32831.78</v>
      </c>
      <c r="O14" s="862">
        <f t="shared" ref="O14:O15" si="3">+I14-(J14+K14+L14)</f>
        <v>215230.55</v>
      </c>
      <c r="P14" s="863"/>
      <c r="Q14" s="864"/>
      <c r="R14" s="865"/>
    </row>
    <row r="15" spans="2:22" ht="30" customHeight="1" x14ac:dyDescent="0.25">
      <c r="B15" s="331">
        <v>3</v>
      </c>
      <c r="C15" s="332">
        <f>+'CONTROL GEN. AVAN. OBRA.'!C13</f>
        <v>46235</v>
      </c>
      <c r="D15" s="333">
        <f>+'[12]CGO-OP'!H27</f>
        <v>0</v>
      </c>
      <c r="E15" s="333">
        <v>0</v>
      </c>
      <c r="F15" s="333">
        <f t="shared" si="0"/>
        <v>0</v>
      </c>
      <c r="G15" s="333">
        <v>0</v>
      </c>
      <c r="H15" s="333">
        <v>0</v>
      </c>
      <c r="I15" s="333">
        <f t="shared" si="1"/>
        <v>0</v>
      </c>
      <c r="J15" s="333">
        <v>0</v>
      </c>
      <c r="K15" s="333">
        <v>0</v>
      </c>
      <c r="L15" s="333">
        <f t="shared" si="2"/>
        <v>0</v>
      </c>
      <c r="M15" s="333">
        <f t="shared" ref="M15" si="4">ROUND(O15/1.18,2)</f>
        <v>0</v>
      </c>
      <c r="N15" s="333">
        <f>+O15-M15</f>
        <v>0</v>
      </c>
      <c r="O15" s="333">
        <f t="shared" si="3"/>
        <v>0</v>
      </c>
      <c r="P15" s="334"/>
      <c r="Q15" s="335"/>
      <c r="R15" s="336"/>
    </row>
    <row r="16" spans="2:22" ht="30" customHeight="1" x14ac:dyDescent="0.25">
      <c r="B16" s="541" t="s">
        <v>2</v>
      </c>
      <c r="C16" s="541"/>
      <c r="D16" s="337">
        <f t="shared" ref="D16:N16" si="5">SUM(D13:D15)</f>
        <v>624846.84</v>
      </c>
      <c r="E16" s="337">
        <f t="shared" si="5"/>
        <v>0</v>
      </c>
      <c r="F16" s="337">
        <f t="shared" si="5"/>
        <v>624846.84</v>
      </c>
      <c r="G16" s="337">
        <f t="shared" si="5"/>
        <v>0</v>
      </c>
      <c r="H16" s="337">
        <f t="shared" si="5"/>
        <v>0</v>
      </c>
      <c r="I16" s="337">
        <f t="shared" si="5"/>
        <v>624846.84</v>
      </c>
      <c r="J16" s="337">
        <f t="shared" si="5"/>
        <v>63882.75</v>
      </c>
      <c r="K16" s="337">
        <f>SUM(K13:K15)</f>
        <v>0</v>
      </c>
      <c r="L16" s="337">
        <f>SUM(L13:L15)</f>
        <v>24994</v>
      </c>
      <c r="M16" s="337">
        <f>SUM(M13:M15)</f>
        <v>454211.93999999994</v>
      </c>
      <c r="N16" s="337">
        <f t="shared" si="5"/>
        <v>81758.149999999994</v>
      </c>
      <c r="O16" s="337">
        <f>SUM(O13:O15)</f>
        <v>535970.09</v>
      </c>
      <c r="P16" s="337"/>
      <c r="Q16" s="337"/>
      <c r="R16" s="337"/>
    </row>
    <row r="17" spans="2:18" ht="15" customHeight="1" x14ac:dyDescent="0.25">
      <c r="B17" s="23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</row>
    <row r="18" spans="2:18" ht="15" customHeight="1" thickBot="1" x14ac:dyDescent="0.3">
      <c r="B18" s="236" t="s">
        <v>295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338"/>
      <c r="O18" s="338"/>
      <c r="P18" s="338"/>
      <c r="Q18" s="106"/>
      <c r="R18" s="106"/>
    </row>
    <row r="19" spans="2:18" ht="15" customHeight="1" x14ac:dyDescent="0.25">
      <c r="B19" s="665" t="s">
        <v>296</v>
      </c>
      <c r="C19" s="666"/>
      <c r="D19" s="666"/>
      <c r="E19" s="666"/>
      <c r="F19" s="851" t="s">
        <v>130</v>
      </c>
      <c r="G19" s="851" t="s">
        <v>129</v>
      </c>
      <c r="H19" s="851"/>
      <c r="I19" s="851" t="s">
        <v>301</v>
      </c>
      <c r="J19" s="851" t="s">
        <v>136</v>
      </c>
      <c r="K19" s="851"/>
      <c r="L19" s="858"/>
      <c r="M19" s="851" t="s">
        <v>297</v>
      </c>
      <c r="N19" s="851"/>
      <c r="O19" s="851"/>
      <c r="P19" s="851" t="s">
        <v>277</v>
      </c>
      <c r="Q19" s="851"/>
      <c r="R19" s="824"/>
    </row>
    <row r="20" spans="2:18" ht="15" customHeight="1" x14ac:dyDescent="0.25">
      <c r="B20" s="852" t="s">
        <v>278</v>
      </c>
      <c r="C20" s="812" t="s">
        <v>58</v>
      </c>
      <c r="D20" s="853" t="s">
        <v>19</v>
      </c>
      <c r="E20" s="853" t="s">
        <v>279</v>
      </c>
      <c r="F20" s="813"/>
      <c r="G20" s="853" t="s">
        <v>280</v>
      </c>
      <c r="H20" s="853" t="s">
        <v>281</v>
      </c>
      <c r="I20" s="813"/>
      <c r="J20" s="853" t="s">
        <v>298</v>
      </c>
      <c r="K20" s="853" t="s">
        <v>106</v>
      </c>
      <c r="L20" s="853"/>
      <c r="M20" s="853" t="s">
        <v>282</v>
      </c>
      <c r="N20" s="853" t="s">
        <v>52</v>
      </c>
      <c r="O20" s="813" t="s">
        <v>2</v>
      </c>
      <c r="P20" s="813" t="s">
        <v>283</v>
      </c>
      <c r="Q20" s="813" t="s">
        <v>284</v>
      </c>
      <c r="R20" s="854" t="s">
        <v>285</v>
      </c>
    </row>
    <row r="21" spans="2:18" ht="15.6" thickBot="1" x14ac:dyDescent="0.3">
      <c r="B21" s="668"/>
      <c r="C21" s="669"/>
      <c r="D21" s="855" t="s">
        <v>286</v>
      </c>
      <c r="E21" s="855" t="s">
        <v>287</v>
      </c>
      <c r="F21" s="855" t="s">
        <v>288</v>
      </c>
      <c r="G21" s="855" t="s">
        <v>289</v>
      </c>
      <c r="H21" s="855" t="s">
        <v>290</v>
      </c>
      <c r="I21" s="855" t="s">
        <v>291</v>
      </c>
      <c r="J21" s="855" t="s">
        <v>292</v>
      </c>
      <c r="K21" s="855" t="s">
        <v>293</v>
      </c>
      <c r="L21" s="855"/>
      <c r="M21" s="855" t="s">
        <v>294</v>
      </c>
      <c r="N21" s="859">
        <v>0.18</v>
      </c>
      <c r="O21" s="856"/>
      <c r="P21" s="856"/>
      <c r="Q21" s="856"/>
      <c r="R21" s="857"/>
    </row>
    <row r="22" spans="2:18" ht="30" customHeight="1" x14ac:dyDescent="0.25">
      <c r="B22" s="291">
        <v>1</v>
      </c>
      <c r="C22" s="847">
        <f>+C13</f>
        <v>46174</v>
      </c>
      <c r="D22" s="848">
        <v>0</v>
      </c>
      <c r="E22" s="848">
        <v>0</v>
      </c>
      <c r="F22" s="848">
        <f>+D22+E22</f>
        <v>0</v>
      </c>
      <c r="G22" s="848">
        <v>0</v>
      </c>
      <c r="H22" s="848">
        <v>0</v>
      </c>
      <c r="I22" s="848">
        <f>+F22-(G22+H22)</f>
        <v>0</v>
      </c>
      <c r="J22" s="848"/>
      <c r="K22" s="848">
        <v>0</v>
      </c>
      <c r="L22" s="848"/>
      <c r="M22" s="848">
        <f>(I22-(J22+K22))/1.18</f>
        <v>0</v>
      </c>
      <c r="N22" s="848">
        <f>M22*18%</f>
        <v>0</v>
      </c>
      <c r="O22" s="848">
        <f>+M22+N22</f>
        <v>0</v>
      </c>
      <c r="P22" s="849"/>
      <c r="Q22" s="848"/>
      <c r="R22" s="848"/>
    </row>
    <row r="23" spans="2:18" ht="30" customHeight="1" x14ac:dyDescent="0.25">
      <c r="B23" s="860">
        <v>2</v>
      </c>
      <c r="C23" s="861">
        <f t="shared" ref="C23:C24" si="6">+C14</f>
        <v>46204</v>
      </c>
      <c r="D23" s="862">
        <v>0</v>
      </c>
      <c r="E23" s="862">
        <v>0</v>
      </c>
      <c r="F23" s="862">
        <f t="shared" ref="F23:F24" si="7">+D23+E23</f>
        <v>0</v>
      </c>
      <c r="G23" s="862">
        <v>0</v>
      </c>
      <c r="H23" s="862">
        <v>0</v>
      </c>
      <c r="I23" s="862">
        <f t="shared" ref="I23:I24" si="8">+F23-(G23+H23)</f>
        <v>0</v>
      </c>
      <c r="J23" s="862">
        <v>0</v>
      </c>
      <c r="K23" s="862">
        <v>0</v>
      </c>
      <c r="L23" s="862"/>
      <c r="M23" s="862"/>
      <c r="N23" s="862">
        <f t="shared" ref="N23:N24" si="9">M23*18%</f>
        <v>0</v>
      </c>
      <c r="O23" s="862">
        <f t="shared" ref="O23:O24" si="10">+M23+N23</f>
        <v>0</v>
      </c>
      <c r="P23" s="862"/>
      <c r="Q23" s="862"/>
      <c r="R23" s="862"/>
    </row>
    <row r="24" spans="2:18" ht="30" customHeight="1" x14ac:dyDescent="0.25">
      <c r="B24" s="331">
        <v>3</v>
      </c>
      <c r="C24" s="332">
        <f t="shared" si="6"/>
        <v>46235</v>
      </c>
      <c r="D24" s="333">
        <v>0</v>
      </c>
      <c r="E24" s="333">
        <v>0</v>
      </c>
      <c r="F24" s="333">
        <f t="shared" si="7"/>
        <v>0</v>
      </c>
      <c r="G24" s="333">
        <v>0</v>
      </c>
      <c r="H24" s="333">
        <v>0</v>
      </c>
      <c r="I24" s="333">
        <f t="shared" si="8"/>
        <v>0</v>
      </c>
      <c r="J24" s="333">
        <v>0</v>
      </c>
      <c r="K24" s="333">
        <v>0</v>
      </c>
      <c r="L24" s="333"/>
      <c r="M24" s="333"/>
      <c r="N24" s="333">
        <f t="shared" si="9"/>
        <v>0</v>
      </c>
      <c r="O24" s="333">
        <f t="shared" si="10"/>
        <v>0</v>
      </c>
      <c r="P24" s="333"/>
      <c r="Q24" s="333"/>
      <c r="R24" s="333"/>
    </row>
    <row r="25" spans="2:18" ht="30" customHeight="1" x14ac:dyDescent="0.25">
      <c r="B25" s="541" t="s">
        <v>2</v>
      </c>
      <c r="C25" s="541"/>
      <c r="D25" s="337">
        <f t="shared" ref="D25:O25" si="11">SUM(D22:D24)</f>
        <v>0</v>
      </c>
      <c r="E25" s="337">
        <f t="shared" si="11"/>
        <v>0</v>
      </c>
      <c r="F25" s="337">
        <f t="shared" si="11"/>
        <v>0</v>
      </c>
      <c r="G25" s="337">
        <f t="shared" si="11"/>
        <v>0</v>
      </c>
      <c r="H25" s="337">
        <f t="shared" si="11"/>
        <v>0</v>
      </c>
      <c r="I25" s="337">
        <f t="shared" si="11"/>
        <v>0</v>
      </c>
      <c r="J25" s="337">
        <f t="shared" si="11"/>
        <v>0</v>
      </c>
      <c r="K25" s="337">
        <f t="shared" si="11"/>
        <v>0</v>
      </c>
      <c r="L25" s="337"/>
      <c r="M25" s="337">
        <f t="shared" si="11"/>
        <v>0</v>
      </c>
      <c r="N25" s="337">
        <f t="shared" si="11"/>
        <v>0</v>
      </c>
      <c r="O25" s="337">
        <f t="shared" si="11"/>
        <v>0</v>
      </c>
      <c r="P25" s="337"/>
      <c r="Q25" s="337"/>
      <c r="R25" s="337"/>
    </row>
    <row r="26" spans="2:18" ht="15.6" thickBot="1" x14ac:dyDescent="0.3">
      <c r="F26" s="103"/>
      <c r="G26" s="103"/>
      <c r="H26" s="103"/>
      <c r="J26" s="119"/>
      <c r="M26" s="119"/>
      <c r="N26" s="119"/>
      <c r="O26" s="119"/>
      <c r="P26" s="122"/>
      <c r="Q26" s="122"/>
      <c r="R26" s="122"/>
    </row>
    <row r="27" spans="2:18" x14ac:dyDescent="0.25">
      <c r="B27" s="105"/>
      <c r="C27" s="105"/>
      <c r="D27" s="105"/>
      <c r="E27" s="105"/>
      <c r="F27" s="105"/>
      <c r="G27" s="105"/>
      <c r="H27" s="105"/>
      <c r="I27" s="105"/>
      <c r="J27" s="823" t="s">
        <v>299</v>
      </c>
      <c r="K27" s="851"/>
      <c r="L27" s="851"/>
      <c r="M27" s="851" t="s">
        <v>297</v>
      </c>
      <c r="N27" s="851"/>
      <c r="O27" s="851"/>
      <c r="P27" s="851" t="s">
        <v>277</v>
      </c>
      <c r="Q27" s="851"/>
      <c r="R27" s="824"/>
    </row>
    <row r="28" spans="2:18" x14ac:dyDescent="0.25">
      <c r="B28" s="105"/>
      <c r="C28" s="105"/>
      <c r="D28" s="105"/>
      <c r="E28" s="105"/>
      <c r="F28" s="105"/>
      <c r="G28" s="105"/>
      <c r="H28" s="105"/>
      <c r="I28" s="105"/>
      <c r="J28" s="887" t="s">
        <v>300</v>
      </c>
      <c r="K28" s="813" t="s">
        <v>280</v>
      </c>
      <c r="L28" s="813" t="s">
        <v>281</v>
      </c>
      <c r="M28" s="813" t="s">
        <v>282</v>
      </c>
      <c r="N28" s="813" t="s">
        <v>52</v>
      </c>
      <c r="O28" s="813" t="s">
        <v>2</v>
      </c>
      <c r="P28" s="813" t="s">
        <v>283</v>
      </c>
      <c r="Q28" s="813" t="s">
        <v>284</v>
      </c>
      <c r="R28" s="854" t="s">
        <v>285</v>
      </c>
    </row>
    <row r="29" spans="2:18" ht="15.6" thickBot="1" x14ac:dyDescent="0.3">
      <c r="F29" s="103"/>
      <c r="G29" s="103"/>
      <c r="H29" s="103"/>
      <c r="J29" s="888"/>
      <c r="K29" s="856"/>
      <c r="L29" s="856"/>
      <c r="M29" s="856"/>
      <c r="N29" s="856"/>
      <c r="O29" s="856"/>
      <c r="P29" s="856"/>
      <c r="Q29" s="856"/>
      <c r="R29" s="857"/>
    </row>
    <row r="30" spans="2:18" ht="30" customHeight="1" x14ac:dyDescent="0.25">
      <c r="F30" s="103"/>
      <c r="G30" s="103"/>
      <c r="H30" s="103"/>
      <c r="J30" s="295">
        <v>1</v>
      </c>
      <c r="K30" s="848">
        <v>0</v>
      </c>
      <c r="L30" s="848"/>
      <c r="M30" s="848">
        <f>+K30/1.18</f>
        <v>0</v>
      </c>
      <c r="N30" s="848">
        <f>+M30*18%</f>
        <v>0</v>
      </c>
      <c r="O30" s="848">
        <f>+M30+N30</f>
        <v>0</v>
      </c>
      <c r="P30" s="849"/>
      <c r="Q30" s="848"/>
      <c r="R30" s="848"/>
    </row>
    <row r="31" spans="2:18" ht="30" customHeight="1" x14ac:dyDescent="0.25">
      <c r="F31" s="103"/>
      <c r="G31" s="103"/>
      <c r="H31" s="103"/>
      <c r="J31" s="339">
        <v>2</v>
      </c>
      <c r="K31" s="333"/>
      <c r="L31" s="333">
        <v>0</v>
      </c>
      <c r="M31" s="333">
        <f>+L31/1.18</f>
        <v>0</v>
      </c>
      <c r="N31" s="333">
        <f>+M31*18%</f>
        <v>0</v>
      </c>
      <c r="O31" s="333">
        <f>+M31+N31</f>
        <v>0</v>
      </c>
      <c r="P31" s="334"/>
      <c r="Q31" s="333"/>
      <c r="R31" s="333"/>
    </row>
    <row r="32" spans="2:18" ht="30" customHeight="1" x14ac:dyDescent="0.25">
      <c r="F32" s="103"/>
      <c r="G32" s="103"/>
      <c r="H32" s="103"/>
      <c r="J32" s="340" t="s">
        <v>2</v>
      </c>
      <c r="K32" s="341">
        <f>SUM(K30:K31)</f>
        <v>0</v>
      </c>
      <c r="L32" s="341">
        <f>SUM(L30:L31)</f>
        <v>0</v>
      </c>
      <c r="M32" s="341">
        <f>SUM(M30:M31)</f>
        <v>0</v>
      </c>
      <c r="N32" s="341">
        <f>SUM(N30:N31)</f>
        <v>0</v>
      </c>
      <c r="O32" s="341">
        <f>SUM(O30:O31)</f>
        <v>0</v>
      </c>
      <c r="P32" s="331"/>
      <c r="Q32" s="341"/>
      <c r="R32" s="341"/>
    </row>
    <row r="33" spans="2:18" x14ac:dyDescent="0.25">
      <c r="F33" s="103"/>
      <c r="G33" s="103"/>
      <c r="H33" s="103"/>
      <c r="J33" s="119"/>
      <c r="M33" s="119"/>
      <c r="N33" s="119"/>
      <c r="O33" s="119"/>
      <c r="P33" s="122"/>
      <c r="Q33" s="122"/>
      <c r="R33" s="122"/>
    </row>
    <row r="34" spans="2:18" ht="30" customHeight="1" x14ac:dyDescent="0.25">
      <c r="B34" s="542" t="s">
        <v>2</v>
      </c>
      <c r="C34" s="542"/>
      <c r="D34" s="341">
        <f t="shared" ref="D34:N34" si="12">+D16+D25</f>
        <v>624846.84</v>
      </c>
      <c r="E34" s="341">
        <f t="shared" si="12"/>
        <v>0</v>
      </c>
      <c r="F34" s="341">
        <f t="shared" si="12"/>
        <v>624846.84</v>
      </c>
      <c r="G34" s="341">
        <f t="shared" si="12"/>
        <v>0</v>
      </c>
      <c r="H34" s="341">
        <f t="shared" si="12"/>
        <v>0</v>
      </c>
      <c r="I34" s="341">
        <f>+I16+I25</f>
        <v>624846.84</v>
      </c>
      <c r="J34" s="341">
        <f>+J16+J25</f>
        <v>63882.75</v>
      </c>
      <c r="K34" s="341">
        <f t="shared" ref="K34:L34" si="13">+K16+K25</f>
        <v>0</v>
      </c>
      <c r="L34" s="341">
        <f t="shared" si="13"/>
        <v>24994</v>
      </c>
      <c r="M34" s="341">
        <f>+M16+M25</f>
        <v>454211.93999999994</v>
      </c>
      <c r="N34" s="341">
        <f t="shared" si="12"/>
        <v>81758.149999999994</v>
      </c>
      <c r="O34" s="341">
        <f>+O16+O25</f>
        <v>535970.09</v>
      </c>
      <c r="P34" s="331"/>
      <c r="Q34" s="331"/>
      <c r="R34" s="331"/>
    </row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</sheetData>
  <mergeCells count="44">
    <mergeCell ref="B34:C34"/>
    <mergeCell ref="B25:C25"/>
    <mergeCell ref="J27:L27"/>
    <mergeCell ref="M27:O27"/>
    <mergeCell ref="P27:R27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J19:K19"/>
    <mergeCell ref="M19:O19"/>
    <mergeCell ref="P19:R19"/>
    <mergeCell ref="B20:B21"/>
    <mergeCell ref="C20:C21"/>
    <mergeCell ref="O20:O21"/>
    <mergeCell ref="P20:P21"/>
    <mergeCell ref="Q20:Q21"/>
    <mergeCell ref="R20:R21"/>
    <mergeCell ref="B16:C16"/>
    <mergeCell ref="B19:E19"/>
    <mergeCell ref="F19:F20"/>
    <mergeCell ref="G19:H19"/>
    <mergeCell ref="I19:I20"/>
    <mergeCell ref="B1:O1"/>
    <mergeCell ref="C2:O2"/>
    <mergeCell ref="K10:K11"/>
    <mergeCell ref="L10:L11"/>
    <mergeCell ref="P10:R10"/>
    <mergeCell ref="B11:B12"/>
    <mergeCell ref="C11:C12"/>
    <mergeCell ref="P11:P12"/>
    <mergeCell ref="Q11:Q12"/>
    <mergeCell ref="R11:R12"/>
    <mergeCell ref="B10:E10"/>
    <mergeCell ref="F10:F11"/>
    <mergeCell ref="G10:H10"/>
    <mergeCell ref="I10:I11"/>
    <mergeCell ref="J10:J11"/>
    <mergeCell ref="M10:O1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4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18CA-75D0-4152-9FE7-558DFD00A4D6}">
  <sheetPr>
    <pageSetUpPr fitToPage="1"/>
  </sheetPr>
  <dimension ref="B1:AL21"/>
  <sheetViews>
    <sheetView view="pageBreakPreview" zoomScaleNormal="30" zoomScaleSheetLayoutView="100" workbookViewId="0">
      <selection activeCell="E27" sqref="E27"/>
    </sheetView>
  </sheetViews>
  <sheetFormatPr baseColWidth="10" defaultColWidth="10.6640625" defaultRowHeight="15" customHeight="1" x14ac:dyDescent="0.25"/>
  <cols>
    <col min="1" max="1" width="1.6640625" style="103" customWidth="1"/>
    <col min="2" max="2" width="13.6640625" style="103" customWidth="1"/>
    <col min="3" max="3" width="38.6640625" style="103" customWidth="1"/>
    <col min="4" max="4" width="30.6640625" style="103" customWidth="1"/>
    <col min="5" max="5" width="10.6640625" style="122"/>
    <col min="6" max="6" width="10.6640625" style="103"/>
    <col min="7" max="37" width="2.6640625" style="103" customWidth="1"/>
    <col min="38" max="38" width="6.6640625" style="103" customWidth="1"/>
    <col min="39" max="39" width="1.6640625" style="103" customWidth="1"/>
    <col min="40" max="16384" width="10.6640625" style="103"/>
  </cols>
  <sheetData>
    <row r="1" spans="2:38" s="105" customFormat="1" ht="30" customHeight="1" x14ac:dyDescent="0.25">
      <c r="B1" s="519" t="s">
        <v>614</v>
      </c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  <c r="AJ1" s="519"/>
      <c r="AK1" s="519"/>
      <c r="AL1" s="519"/>
    </row>
    <row r="2" spans="2:38" s="105" customFormat="1" ht="15" customHeight="1" x14ac:dyDescent="0.25">
      <c r="B2" s="106" t="str">
        <f>+FT!$C$5</f>
        <v>Obra</v>
      </c>
      <c r="C2" s="507" t="str">
        <f>+FT!$E$5</f>
        <v>"MEJORAMIENTO Y AMPLIACIÓN DE LOS SERVICIOS DE TRANSITABILIDAD VEHICULAR Y PEATONAL DEL JR LOS PINOS Y JR LOS CEDROS EN CAYHUAYNA Y CAYHUAYNA DEL DISTRITO DE PILLCO MARCA - PROVINCIA DE HUÁNUCO - DEPARTAMENTO DE HUÁNUCO" con CUI N°2536252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</row>
    <row r="3" spans="2:38" s="105" customFormat="1" ht="15" customHeight="1" x14ac:dyDescent="0.25">
      <c r="B3" s="106" t="s">
        <v>587</v>
      </c>
      <c r="C3" s="103" t="str">
        <f>+FT!$E$4</f>
        <v>MUNICIPALIDAD DISTRITAL DE PILLCO MARCA</v>
      </c>
      <c r="D3" s="106"/>
      <c r="E3" s="106"/>
      <c r="F3" s="106"/>
    </row>
    <row r="4" spans="2:38" s="105" customFormat="1" ht="15" customHeight="1" x14ac:dyDescent="0.25">
      <c r="B4" s="103" t="s">
        <v>583</v>
      </c>
      <c r="C4" s="103" t="str">
        <f>+FT!$E$15</f>
        <v>CONSORCIO EJECUTOR LOS PINOS</v>
      </c>
      <c r="D4" s="106"/>
      <c r="E4" s="106"/>
      <c r="F4" s="106"/>
    </row>
    <row r="5" spans="2:38" s="105" customFormat="1" ht="15" customHeight="1" x14ac:dyDescent="0.25">
      <c r="B5" s="103" t="s">
        <v>630</v>
      </c>
      <c r="C5" s="103" t="str">
        <f>+FT!$E$34</f>
        <v>PROYECTA PCL S.A.C</v>
      </c>
      <c r="D5" s="104" t="s">
        <v>212</v>
      </c>
      <c r="E5" s="251">
        <f>+FT!$E$24</f>
        <v>638827.47</v>
      </c>
    </row>
    <row r="6" spans="2:38" s="105" customFormat="1" ht="15" customHeight="1" x14ac:dyDescent="0.25">
      <c r="B6" s="103" t="s">
        <v>588</v>
      </c>
      <c r="C6" s="103" t="str">
        <f>+FT!$E$32</f>
        <v>ING. RAMIREZ BLANCO GABRIEL AUGUSTO HERMOGENES</v>
      </c>
      <c r="D6" s="104" t="s">
        <v>215</v>
      </c>
      <c r="E6" s="251">
        <f>+FT!$E$25</f>
        <v>638827.47</v>
      </c>
    </row>
    <row r="7" spans="2:38" s="105" customFormat="1" ht="15" customHeight="1" x14ac:dyDescent="0.25">
      <c r="B7" s="156" t="s">
        <v>631</v>
      </c>
      <c r="C7" s="156" t="str">
        <f>+FT!$E$46</f>
        <v>ING. CESAR RICARDO ZELADA RODRIGUEZ (CIP N°
98469)</v>
      </c>
      <c r="D7" s="156" t="s">
        <v>214</v>
      </c>
      <c r="E7" s="156" t="str">
        <f>+FT!$E$31</f>
        <v>SESENTA (60) DÍAS CALENDARIOS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</row>
    <row r="8" spans="2:38" ht="15" customHeight="1" x14ac:dyDescent="0.25">
      <c r="D8" s="106"/>
      <c r="E8" s="106"/>
      <c r="F8" s="106"/>
    </row>
    <row r="9" spans="2:38" ht="15" customHeight="1" x14ac:dyDescent="0.25">
      <c r="B9" s="508" t="s">
        <v>119</v>
      </c>
      <c r="C9" s="508"/>
      <c r="D9" s="508"/>
      <c r="E9" s="508"/>
      <c r="F9" s="508"/>
    </row>
    <row r="10" spans="2:38" ht="15" customHeight="1" x14ac:dyDescent="0.25">
      <c r="B10" s="508" t="s">
        <v>117</v>
      </c>
      <c r="C10" s="508" t="s">
        <v>200</v>
      </c>
      <c r="D10" s="508" t="s">
        <v>120</v>
      </c>
      <c r="E10" s="521" t="s">
        <v>118</v>
      </c>
      <c r="F10" s="521" t="s">
        <v>305</v>
      </c>
    </row>
    <row r="11" spans="2:38" ht="15" customHeight="1" x14ac:dyDescent="0.25">
      <c r="B11" s="508"/>
      <c r="C11" s="508"/>
      <c r="D11" s="508"/>
      <c r="E11" s="521"/>
      <c r="F11" s="521"/>
    </row>
    <row r="12" spans="2:38" ht="30" customHeight="1" x14ac:dyDescent="0.25">
      <c r="B12" s="291">
        <v>1</v>
      </c>
      <c r="C12" s="292" t="str">
        <f>+FT!E32</f>
        <v>ING. RAMIREZ BLANCO GABRIEL AUGUSTO HERMOGENES</v>
      </c>
      <c r="D12" s="292" t="s">
        <v>213</v>
      </c>
      <c r="E12" s="293">
        <v>1</v>
      </c>
      <c r="F12" s="293">
        <v>1</v>
      </c>
    </row>
    <row r="13" spans="2:38" ht="30" customHeight="1" x14ac:dyDescent="0.25">
      <c r="B13" s="291">
        <v>2</v>
      </c>
      <c r="C13" s="292" t="s">
        <v>609</v>
      </c>
      <c r="D13" s="292" t="s">
        <v>610</v>
      </c>
      <c r="E13" s="293">
        <v>1</v>
      </c>
      <c r="F13" s="293">
        <v>1</v>
      </c>
    </row>
    <row r="14" spans="2:38" s="105" customFormat="1" ht="15" customHeight="1" x14ac:dyDescent="0.25">
      <c r="B14" s="103"/>
      <c r="C14" s="103"/>
      <c r="D14" s="103"/>
      <c r="E14" s="122"/>
      <c r="F14" s="103"/>
    </row>
    <row r="15" spans="2:38" ht="15" customHeight="1" x14ac:dyDescent="0.25">
      <c r="B15" s="508" t="s">
        <v>119</v>
      </c>
      <c r="C15" s="508"/>
      <c r="D15" s="508"/>
      <c r="E15" s="508"/>
      <c r="F15" s="508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Q15" s="543"/>
      <c r="R15" s="543"/>
      <c r="S15" s="543"/>
      <c r="T15" s="543"/>
      <c r="U15" s="543"/>
      <c r="V15" s="543"/>
      <c r="W15" s="543"/>
      <c r="X15" s="543"/>
      <c r="Y15" s="543"/>
      <c r="Z15" s="543"/>
      <c r="AA15" s="543"/>
      <c r="AB15" s="543"/>
      <c r="AC15" s="543"/>
      <c r="AD15" s="543"/>
      <c r="AE15" s="543"/>
      <c r="AF15" s="543"/>
      <c r="AG15" s="543"/>
      <c r="AH15" s="543"/>
      <c r="AI15" s="543"/>
      <c r="AJ15" s="543"/>
      <c r="AK15" s="543"/>
      <c r="AL15" s="521" t="s">
        <v>194</v>
      </c>
    </row>
    <row r="16" spans="2:38" ht="15" customHeight="1" x14ac:dyDescent="0.25">
      <c r="B16" s="508" t="s">
        <v>117</v>
      </c>
      <c r="C16" s="508" t="s">
        <v>200</v>
      </c>
      <c r="D16" s="508" t="s">
        <v>120</v>
      </c>
      <c r="E16" s="521" t="s">
        <v>121</v>
      </c>
      <c r="F16" s="521" t="s">
        <v>122</v>
      </c>
      <c r="G16" s="330" t="s">
        <v>196</v>
      </c>
      <c r="H16" s="330" t="s">
        <v>124</v>
      </c>
      <c r="I16" s="330" t="s">
        <v>193</v>
      </c>
      <c r="J16" s="330" t="s">
        <v>197</v>
      </c>
      <c r="K16" s="351" t="s">
        <v>125</v>
      </c>
      <c r="L16" s="330" t="s">
        <v>198</v>
      </c>
      <c r="M16" s="330" t="s">
        <v>195</v>
      </c>
      <c r="N16" s="330" t="s">
        <v>196</v>
      </c>
      <c r="O16" s="330" t="s">
        <v>124</v>
      </c>
      <c r="P16" s="330" t="s">
        <v>193</v>
      </c>
      <c r="Q16" s="330" t="s">
        <v>197</v>
      </c>
      <c r="R16" s="351" t="s">
        <v>125</v>
      </c>
      <c r="S16" s="330" t="s">
        <v>198</v>
      </c>
      <c r="T16" s="330" t="s">
        <v>195</v>
      </c>
      <c r="U16" s="330" t="s">
        <v>196</v>
      </c>
      <c r="V16" s="330" t="s">
        <v>124</v>
      </c>
      <c r="W16" s="330" t="s">
        <v>193</v>
      </c>
      <c r="X16" s="330" t="s">
        <v>197</v>
      </c>
      <c r="Y16" s="351" t="s">
        <v>125</v>
      </c>
      <c r="Z16" s="330" t="s">
        <v>198</v>
      </c>
      <c r="AA16" s="330" t="s">
        <v>195</v>
      </c>
      <c r="AB16" s="330" t="s">
        <v>196</v>
      </c>
      <c r="AC16" s="330" t="s">
        <v>124</v>
      </c>
      <c r="AD16" s="330" t="s">
        <v>193</v>
      </c>
      <c r="AE16" s="330" t="s">
        <v>197</v>
      </c>
      <c r="AF16" s="351" t="s">
        <v>125</v>
      </c>
      <c r="AG16" s="330" t="s">
        <v>198</v>
      </c>
      <c r="AH16" s="330" t="s">
        <v>195</v>
      </c>
      <c r="AI16" s="330" t="s">
        <v>196</v>
      </c>
      <c r="AJ16" s="330" t="s">
        <v>124</v>
      </c>
      <c r="AK16" s="330" t="s">
        <v>193</v>
      </c>
      <c r="AL16" s="521"/>
    </row>
    <row r="17" spans="2:38" s="105" customFormat="1" ht="15" customHeight="1" x14ac:dyDescent="0.25">
      <c r="B17" s="508"/>
      <c r="C17" s="508"/>
      <c r="D17" s="508"/>
      <c r="E17" s="521"/>
      <c r="F17" s="521"/>
      <c r="G17" s="330">
        <v>1</v>
      </c>
      <c r="H17" s="330">
        <v>2</v>
      </c>
      <c r="I17" s="330">
        <v>3</v>
      </c>
      <c r="J17" s="330">
        <v>4</v>
      </c>
      <c r="K17" s="351">
        <v>5</v>
      </c>
      <c r="L17" s="330">
        <v>6</v>
      </c>
      <c r="M17" s="330">
        <v>7</v>
      </c>
      <c r="N17" s="330">
        <v>8</v>
      </c>
      <c r="O17" s="330">
        <v>9</v>
      </c>
      <c r="P17" s="330">
        <v>10</v>
      </c>
      <c r="Q17" s="330">
        <v>11</v>
      </c>
      <c r="R17" s="351">
        <v>12</v>
      </c>
      <c r="S17" s="330">
        <v>13</v>
      </c>
      <c r="T17" s="330">
        <v>14</v>
      </c>
      <c r="U17" s="330">
        <v>15</v>
      </c>
      <c r="V17" s="330">
        <v>16</v>
      </c>
      <c r="W17" s="330">
        <v>17</v>
      </c>
      <c r="X17" s="330">
        <v>18</v>
      </c>
      <c r="Y17" s="351">
        <v>19</v>
      </c>
      <c r="Z17" s="330">
        <v>20</v>
      </c>
      <c r="AA17" s="330">
        <v>21</v>
      </c>
      <c r="AB17" s="330">
        <v>22</v>
      </c>
      <c r="AC17" s="330">
        <v>23</v>
      </c>
      <c r="AD17" s="330">
        <v>24</v>
      </c>
      <c r="AE17" s="330">
        <v>25</v>
      </c>
      <c r="AF17" s="351">
        <v>26</v>
      </c>
      <c r="AG17" s="330">
        <v>27</v>
      </c>
      <c r="AH17" s="330">
        <v>28</v>
      </c>
      <c r="AI17" s="330">
        <v>29</v>
      </c>
      <c r="AJ17" s="330">
        <v>30</v>
      </c>
      <c r="AK17" s="330">
        <v>31</v>
      </c>
      <c r="AL17" s="521"/>
    </row>
    <row r="18" spans="2:38" s="105" customFormat="1" ht="30" customHeight="1" x14ac:dyDescent="0.25">
      <c r="B18" s="291">
        <v>1</v>
      </c>
      <c r="C18" s="292" t="str">
        <f>+C12</f>
        <v>ING. RAMIREZ BLANCO GABRIEL AUGUSTO HERMOGENES</v>
      </c>
      <c r="D18" s="292" t="str">
        <f>+D12</f>
        <v>RESIDENTE DE OBRA</v>
      </c>
      <c r="E18" s="291">
        <v>71535828</v>
      </c>
      <c r="F18" s="291">
        <v>230440</v>
      </c>
      <c r="G18" s="294"/>
      <c r="H18" s="294"/>
      <c r="I18" s="294"/>
      <c r="J18" s="294"/>
      <c r="K18" s="350"/>
      <c r="L18" s="294"/>
      <c r="M18" s="294"/>
      <c r="N18" s="294"/>
      <c r="O18" s="294"/>
      <c r="P18" s="294"/>
      <c r="Q18" s="294"/>
      <c r="R18" s="350"/>
      <c r="S18" s="294"/>
      <c r="T18" s="294"/>
      <c r="U18" s="294"/>
      <c r="V18" s="294"/>
      <c r="W18" s="294"/>
      <c r="X18" s="294"/>
      <c r="Y18" s="350"/>
      <c r="Z18" s="294"/>
      <c r="AA18" s="294"/>
      <c r="AB18" s="294"/>
      <c r="AC18" s="294"/>
      <c r="AD18" s="294"/>
      <c r="AE18" s="294"/>
      <c r="AF18" s="350"/>
      <c r="AG18" s="294"/>
      <c r="AH18" s="294"/>
      <c r="AI18" s="294"/>
      <c r="AJ18" s="294"/>
      <c r="AK18" s="294"/>
      <c r="AL18" s="295">
        <v>31</v>
      </c>
    </row>
    <row r="19" spans="2:38" s="105" customFormat="1" ht="30" customHeight="1" x14ac:dyDescent="0.25">
      <c r="B19" s="291">
        <v>2</v>
      </c>
      <c r="C19" s="292" t="str">
        <f>+C13</f>
        <v>ING. PAJUELO VASQUEZ, BAYLON ARTURO</v>
      </c>
      <c r="D19" s="292" t="str">
        <f>+D13</f>
        <v>ESPECIALISTA DE SEGURIDAD Y SALUD EN EL TRABAJO</v>
      </c>
      <c r="E19" s="291">
        <v>22520709</v>
      </c>
      <c r="F19" s="291">
        <v>86312</v>
      </c>
      <c r="G19" s="294"/>
      <c r="H19" s="294"/>
      <c r="I19" s="294"/>
      <c r="J19" s="294"/>
      <c r="K19" s="237"/>
      <c r="L19" s="294"/>
      <c r="M19" s="294"/>
      <c r="N19" s="294"/>
      <c r="O19" s="294"/>
      <c r="P19" s="294"/>
      <c r="Q19" s="294"/>
      <c r="R19" s="237"/>
      <c r="S19" s="294"/>
      <c r="T19" s="294"/>
      <c r="U19" s="294"/>
      <c r="V19" s="294"/>
      <c r="W19" s="294"/>
      <c r="X19" s="294"/>
      <c r="Y19" s="237"/>
      <c r="Z19" s="294"/>
      <c r="AA19" s="294"/>
      <c r="AB19" s="294"/>
      <c r="AC19" s="294"/>
      <c r="AD19" s="294"/>
      <c r="AE19" s="294"/>
      <c r="AF19" s="237"/>
      <c r="AG19" s="294"/>
      <c r="AH19" s="294"/>
      <c r="AI19" s="294"/>
      <c r="AJ19" s="294"/>
      <c r="AK19" s="294"/>
      <c r="AL19" s="295">
        <v>31</v>
      </c>
    </row>
    <row r="20" spans="2:38" s="105" customFormat="1" ht="15" customHeight="1" x14ac:dyDescent="0.25">
      <c r="B20" s="103"/>
      <c r="C20" s="103"/>
      <c r="D20" s="103"/>
      <c r="E20" s="103"/>
      <c r="F20" s="103"/>
    </row>
    <row r="21" spans="2:38" s="105" customFormat="1" ht="15" customHeight="1" x14ac:dyDescent="0.25">
      <c r="B21" s="103"/>
      <c r="C21" s="103"/>
      <c r="D21" s="103"/>
      <c r="E21" s="122"/>
      <c r="F21" s="103"/>
    </row>
  </sheetData>
  <mergeCells count="16">
    <mergeCell ref="B15:F15"/>
    <mergeCell ref="AL15:AL17"/>
    <mergeCell ref="G15:AK15"/>
    <mergeCell ref="F16:F17"/>
    <mergeCell ref="E16:E17"/>
    <mergeCell ref="D16:D17"/>
    <mergeCell ref="C16:C17"/>
    <mergeCell ref="B16:B17"/>
    <mergeCell ref="B1:AL1"/>
    <mergeCell ref="C2:AL2"/>
    <mergeCell ref="B9:F9"/>
    <mergeCell ref="B10:B11"/>
    <mergeCell ref="C10:C11"/>
    <mergeCell ref="D10:D11"/>
    <mergeCell ref="E10:E11"/>
    <mergeCell ref="F10:F11"/>
  </mergeCells>
  <printOptions horizontalCentered="1"/>
  <pageMargins left="0.59055118110236227" right="0.59055118110236227" top="0.78740157480314965" bottom="0.59055118110236227" header="0.31496062992125984" footer="0.31496062992125984"/>
  <pageSetup paperSize="9" scale="6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9"/>
  <sheetViews>
    <sheetView workbookViewId="0">
      <selection activeCell="J90" sqref="J90"/>
    </sheetView>
  </sheetViews>
  <sheetFormatPr baseColWidth="10" defaultRowHeight="13.2" x14ac:dyDescent="0.25"/>
  <cols>
    <col min="1" max="1" width="10.6640625" customWidth="1"/>
    <col min="5" max="5" width="15.88671875" customWidth="1"/>
    <col min="6" max="6" width="18.109375" customWidth="1"/>
    <col min="7" max="7" width="16.5546875" customWidth="1"/>
    <col min="8" max="8" width="9.88671875" customWidth="1"/>
    <col min="9" max="9" width="2.44140625" customWidth="1"/>
    <col min="10" max="10" width="13" customWidth="1"/>
    <col min="11" max="11" width="12.88671875" bestFit="1" customWidth="1"/>
  </cols>
  <sheetData>
    <row r="1" spans="1:9" ht="15.6" x14ac:dyDescent="0.3">
      <c r="A1" s="555" t="s">
        <v>43</v>
      </c>
      <c r="B1" s="556"/>
      <c r="C1" s="556"/>
      <c r="D1" s="556"/>
      <c r="E1" s="556"/>
      <c r="F1" s="556"/>
      <c r="G1" s="556"/>
      <c r="H1" s="556"/>
      <c r="I1" s="557"/>
    </row>
    <row r="2" spans="1:9" ht="13.8" thickBot="1" x14ac:dyDescent="0.3">
      <c r="A2" s="558" t="s">
        <v>44</v>
      </c>
      <c r="B2" s="550"/>
      <c r="C2" s="550"/>
      <c r="D2" s="550"/>
      <c r="E2" s="550"/>
      <c r="F2" s="550"/>
      <c r="G2" s="550"/>
      <c r="H2" s="550"/>
      <c r="I2" s="559"/>
    </row>
    <row r="4" spans="1:9" ht="12.75" customHeight="1" x14ac:dyDescent="0.25">
      <c r="A4" s="560" t="s">
        <v>7</v>
      </c>
      <c r="B4" s="561" t="e">
        <f>#REF!</f>
        <v>#REF!</v>
      </c>
      <c r="C4" s="561"/>
      <c r="D4" s="561"/>
      <c r="E4" s="561"/>
      <c r="F4" s="561"/>
      <c r="G4" s="561"/>
      <c r="H4" s="561"/>
    </row>
    <row r="5" spans="1:9" ht="53.25" customHeight="1" x14ac:dyDescent="0.25">
      <c r="A5" s="560"/>
      <c r="B5" s="561"/>
      <c r="C5" s="561"/>
      <c r="D5" s="561"/>
      <c r="E5" s="561"/>
      <c r="F5" s="561"/>
      <c r="G5" s="561"/>
      <c r="H5" s="561"/>
    </row>
    <row r="6" spans="1:9" ht="27.75" customHeight="1" x14ac:dyDescent="0.3">
      <c r="A6" s="1" t="s">
        <v>9</v>
      </c>
      <c r="B6" s="1" t="s">
        <v>15</v>
      </c>
      <c r="D6" s="34"/>
      <c r="E6" s="3"/>
      <c r="F6" s="2"/>
    </row>
    <row r="7" spans="1:9" ht="21.75" customHeight="1" x14ac:dyDescent="0.25">
      <c r="A7" s="1" t="s">
        <v>8</v>
      </c>
      <c r="B7" s="34" t="e">
        <f>#REF!</f>
        <v>#REF!</v>
      </c>
      <c r="D7" s="562"/>
      <c r="E7" s="562"/>
      <c r="F7" s="562"/>
      <c r="G7" s="562"/>
    </row>
    <row r="8" spans="1:9" x14ac:dyDescent="0.25">
      <c r="G8" s="1"/>
      <c r="H8" s="1"/>
    </row>
    <row r="9" spans="1:9" x14ac:dyDescent="0.25">
      <c r="A9" s="547" t="s">
        <v>10</v>
      </c>
      <c r="B9" s="547" t="s">
        <v>16</v>
      </c>
      <c r="C9" s="547"/>
      <c r="D9" s="547"/>
      <c r="E9" s="547"/>
      <c r="F9" s="546" t="s">
        <v>17</v>
      </c>
      <c r="G9" s="547" t="s">
        <v>18</v>
      </c>
      <c r="H9" s="547"/>
    </row>
    <row r="10" spans="1:9" x14ac:dyDescent="0.25">
      <c r="A10" s="547"/>
      <c r="B10" s="547"/>
      <c r="C10" s="547"/>
      <c r="D10" s="547"/>
      <c r="E10" s="547"/>
      <c r="F10" s="546"/>
      <c r="G10" s="35" t="s">
        <v>19</v>
      </c>
      <c r="H10" s="35" t="s">
        <v>3</v>
      </c>
    </row>
    <row r="11" spans="1:9" ht="85.5" customHeight="1" x14ac:dyDescent="0.25">
      <c r="A11" s="18" t="s">
        <v>6</v>
      </c>
      <c r="B11" s="554" t="s">
        <v>34</v>
      </c>
      <c r="C11" s="554"/>
      <c r="D11" s="554"/>
      <c r="E11" s="554"/>
      <c r="F11" s="29" t="e">
        <f>#REF!</f>
        <v>#REF!</v>
      </c>
      <c r="G11" s="29" t="e">
        <f>#REF!</f>
        <v>#REF!</v>
      </c>
      <c r="H11" s="30" t="e">
        <f>#REF!</f>
        <v>#REF!</v>
      </c>
    </row>
    <row r="12" spans="1:9" x14ac:dyDescent="0.25">
      <c r="C12" s="11" t="s">
        <v>20</v>
      </c>
      <c r="D12" s="12"/>
      <c r="E12" s="12"/>
      <c r="F12" s="15" t="e">
        <f>SUM(F11:F11)</f>
        <v>#REF!</v>
      </c>
      <c r="G12" s="15" t="e">
        <f>SUM(G11:G11)</f>
        <v>#REF!</v>
      </c>
      <c r="H12" s="16" t="e">
        <f>G12/F12</f>
        <v>#REF!</v>
      </c>
    </row>
    <row r="13" spans="1:9" x14ac:dyDescent="0.25">
      <c r="C13" s="11" t="s">
        <v>51</v>
      </c>
      <c r="D13" s="12"/>
      <c r="E13" s="12"/>
      <c r="F13" s="31" t="e">
        <f>F12*0.075</f>
        <v>#REF!</v>
      </c>
      <c r="G13" s="31" t="e">
        <f>G12*0.075</f>
        <v>#REF!</v>
      </c>
      <c r="H13" s="32"/>
    </row>
    <row r="14" spans="1:9" x14ac:dyDescent="0.25">
      <c r="C14" s="11" t="s">
        <v>22</v>
      </c>
      <c r="D14" s="12"/>
      <c r="E14" s="12"/>
      <c r="F14" s="31" t="e">
        <f>F12*0.05</f>
        <v>#REF!</v>
      </c>
      <c r="G14" s="31" t="e">
        <f>G12*0.05</f>
        <v>#REF!</v>
      </c>
      <c r="H14" s="32"/>
    </row>
    <row r="15" spans="1:9" x14ac:dyDescent="0.25">
      <c r="C15" s="11" t="s">
        <v>23</v>
      </c>
      <c r="D15" s="12"/>
      <c r="E15" s="12"/>
      <c r="F15" s="15" t="e">
        <f>SUM(F12:F14)</f>
        <v>#REF!</v>
      </c>
      <c r="G15" s="15" t="e">
        <f>SUM(G12:G14)-0.01</f>
        <v>#REF!</v>
      </c>
      <c r="H15" s="16"/>
    </row>
    <row r="16" spans="1:9" x14ac:dyDescent="0.25">
      <c r="C16" s="11" t="s">
        <v>24</v>
      </c>
      <c r="D16" s="12"/>
      <c r="E16" s="12"/>
      <c r="F16" s="31" t="e">
        <f>F15*0.18+0.01</f>
        <v>#REF!</v>
      </c>
      <c r="G16" s="31" t="e">
        <f>G15*0.18-0.01</f>
        <v>#REF!</v>
      </c>
      <c r="H16" s="32"/>
    </row>
    <row r="17" spans="1:11" x14ac:dyDescent="0.25">
      <c r="C17" s="13"/>
      <c r="F17" s="31" t="e">
        <f>SUM(F15:F16)-0.01</f>
        <v>#REF!</v>
      </c>
      <c r="G17" s="31" t="e">
        <f>SUM(G15:G16)+0.01</f>
        <v>#REF!</v>
      </c>
      <c r="H17" s="32"/>
    </row>
    <row r="18" spans="1:11" x14ac:dyDescent="0.25">
      <c r="C18" s="11" t="s">
        <v>25</v>
      </c>
      <c r="D18" s="12"/>
      <c r="E18" s="12"/>
      <c r="F18" s="15" t="e">
        <f>F17*1</f>
        <v>#REF!</v>
      </c>
      <c r="G18" s="15" t="e">
        <f>G17*1</f>
        <v>#REF!</v>
      </c>
      <c r="H18" s="16"/>
      <c r="K18" s="8"/>
    </row>
    <row r="19" spans="1:11" x14ac:dyDescent="0.25">
      <c r="C19" s="14" t="s">
        <v>38</v>
      </c>
      <c r="D19" s="14"/>
      <c r="E19" s="14"/>
      <c r="F19" s="15" t="e">
        <f>F18</f>
        <v>#REF!</v>
      </c>
      <c r="G19" s="15"/>
      <c r="H19" s="16"/>
      <c r="K19" s="8"/>
    </row>
    <row r="20" spans="1:11" x14ac:dyDescent="0.25">
      <c r="C20" s="14" t="s">
        <v>35</v>
      </c>
      <c r="D20" s="33"/>
      <c r="E20" s="33"/>
      <c r="F20" s="15" t="e">
        <f>#REF!</f>
        <v>#REF!</v>
      </c>
      <c r="G20" s="15">
        <v>0</v>
      </c>
      <c r="H20" s="16">
        <v>0</v>
      </c>
      <c r="K20" s="8"/>
    </row>
    <row r="21" spans="1:11" x14ac:dyDescent="0.25">
      <c r="C21" s="11"/>
      <c r="D21" s="12"/>
      <c r="E21" s="12"/>
      <c r="F21" s="15"/>
      <c r="G21" s="15"/>
      <c r="H21" s="16"/>
      <c r="K21" s="8"/>
    </row>
    <row r="22" spans="1:11" x14ac:dyDescent="0.25">
      <c r="C22" s="14" t="s">
        <v>37</v>
      </c>
      <c r="D22" s="12"/>
      <c r="E22" s="12"/>
      <c r="F22" s="15" t="e">
        <f>SUM(F19:F20)</f>
        <v>#REF!</v>
      </c>
      <c r="H22" s="16"/>
      <c r="K22" s="8"/>
    </row>
    <row r="23" spans="1:11" x14ac:dyDescent="0.25">
      <c r="C23" s="14" t="s">
        <v>36</v>
      </c>
      <c r="D23" s="12"/>
      <c r="E23" s="12"/>
      <c r="F23" s="15"/>
      <c r="G23" s="15" t="e">
        <f>SUM(G18:G21)</f>
        <v>#REF!</v>
      </c>
      <c r="H23" s="16" t="e">
        <f>G23/F22</f>
        <v>#REF!</v>
      </c>
      <c r="J23" s="9"/>
    </row>
    <row r="24" spans="1:11" x14ac:dyDescent="0.25">
      <c r="D24" s="17"/>
      <c r="I24" s="6"/>
      <c r="J24" s="9"/>
    </row>
    <row r="25" spans="1:11" hidden="1" x14ac:dyDescent="0.25">
      <c r="C25" s="5" t="s">
        <v>11</v>
      </c>
      <c r="D25" s="5"/>
      <c r="E25" s="5"/>
      <c r="F25" s="5"/>
      <c r="G25" s="5"/>
    </row>
    <row r="26" spans="1:11" ht="13.8" hidden="1" thickBot="1" x14ac:dyDescent="0.3">
      <c r="C26" s="5"/>
      <c r="D26" s="5" t="s">
        <v>12</v>
      </c>
      <c r="E26" s="5"/>
      <c r="F26" s="5"/>
      <c r="G26" s="5"/>
      <c r="I26" s="7">
        <v>0</v>
      </c>
    </row>
    <row r="27" spans="1:11" hidden="1" x14ac:dyDescent="0.25"/>
    <row r="28" spans="1:11" hidden="1" x14ac:dyDescent="0.25"/>
    <row r="29" spans="1:11" ht="13.8" hidden="1" thickBot="1" x14ac:dyDescent="0.3">
      <c r="A29" s="548"/>
      <c r="B29" s="4"/>
      <c r="C29" s="549" t="s">
        <v>13</v>
      </c>
      <c r="D29" s="549"/>
      <c r="E29" s="549"/>
      <c r="F29" s="549"/>
      <c r="G29" s="549"/>
      <c r="H29" s="549"/>
      <c r="I29" s="544">
        <f>F23-I26</f>
        <v>0</v>
      </c>
    </row>
    <row r="30" spans="1:11" ht="13.8" hidden="1" thickBot="1" x14ac:dyDescent="0.3">
      <c r="A30" s="548"/>
      <c r="B30" s="4"/>
      <c r="C30" s="549"/>
      <c r="D30" s="549"/>
      <c r="E30" s="549"/>
      <c r="F30" s="549"/>
      <c r="G30" s="549"/>
      <c r="H30" s="549"/>
      <c r="I30" s="544"/>
    </row>
    <row r="31" spans="1:11" x14ac:dyDescent="0.25">
      <c r="B31" s="19" t="s">
        <v>26</v>
      </c>
      <c r="C31" s="545" t="s">
        <v>45</v>
      </c>
      <c r="D31" s="545"/>
      <c r="E31" s="545"/>
      <c r="F31" s="545"/>
      <c r="G31" s="545"/>
      <c r="H31" s="545"/>
      <c r="I31" s="545"/>
      <c r="J31" s="8"/>
    </row>
    <row r="33" spans="2:11" ht="13.8" thickBot="1" x14ac:dyDescent="0.3">
      <c r="J33" s="10"/>
      <c r="K33" s="9"/>
    </row>
    <row r="34" spans="2:11" x14ac:dyDescent="0.25">
      <c r="B34" s="551" t="s">
        <v>43</v>
      </c>
      <c r="C34" s="552"/>
      <c r="D34" s="552"/>
      <c r="E34" s="552"/>
      <c r="F34" s="552"/>
      <c r="G34" s="552"/>
      <c r="H34" s="553"/>
    </row>
    <row r="35" spans="2:11" ht="13.8" thickBot="1" x14ac:dyDescent="0.3">
      <c r="B35" s="20"/>
      <c r="C35" s="550" t="str">
        <f>A2</f>
        <v>Del 01 de Octubre  Al 31 de Octubre del 2014</v>
      </c>
      <c r="D35" s="550"/>
      <c r="E35" s="550"/>
      <c r="F35" s="550"/>
      <c r="G35" s="550"/>
      <c r="H35" s="21"/>
    </row>
    <row r="37" spans="2:11" x14ac:dyDescent="0.25">
      <c r="B37" s="13" t="s">
        <v>20</v>
      </c>
      <c r="C37" s="13"/>
      <c r="D37" s="13"/>
      <c r="E37" s="13"/>
      <c r="F37" s="13"/>
      <c r="G37" s="22" t="e">
        <f>G12</f>
        <v>#REF!</v>
      </c>
    </row>
    <row r="38" spans="2:11" x14ac:dyDescent="0.25">
      <c r="B38" s="13" t="s">
        <v>27</v>
      </c>
      <c r="C38" s="13"/>
      <c r="D38" s="13"/>
      <c r="E38" s="13"/>
      <c r="F38" s="13"/>
      <c r="G38" s="22" t="e">
        <f>G13</f>
        <v>#REF!</v>
      </c>
    </row>
    <row r="39" spans="2:11" x14ac:dyDescent="0.25">
      <c r="B39" s="13" t="s">
        <v>28</v>
      </c>
      <c r="C39" s="13"/>
      <c r="D39" s="13"/>
      <c r="E39" s="13"/>
      <c r="F39" s="13"/>
      <c r="G39" s="22" t="e">
        <f>G14</f>
        <v>#REF!</v>
      </c>
    </row>
    <row r="40" spans="2:11" x14ac:dyDescent="0.25">
      <c r="B40" s="13" t="s">
        <v>23</v>
      </c>
      <c r="C40" s="13"/>
      <c r="D40" s="13"/>
      <c r="E40" s="13"/>
      <c r="F40" s="13"/>
      <c r="G40" s="22" t="e">
        <f>G15</f>
        <v>#REF!</v>
      </c>
    </row>
    <row r="41" spans="2:11" x14ac:dyDescent="0.25">
      <c r="B41" s="13" t="s">
        <v>24</v>
      </c>
      <c r="C41" s="13"/>
      <c r="D41" s="13"/>
      <c r="E41" s="13"/>
      <c r="F41" s="13"/>
      <c r="G41" s="22" t="e">
        <f>G16</f>
        <v>#REF!</v>
      </c>
    </row>
    <row r="43" spans="2:11" x14ac:dyDescent="0.25">
      <c r="B43" s="5" t="s">
        <v>29</v>
      </c>
      <c r="C43" s="23"/>
      <c r="D43" s="5"/>
      <c r="E43" s="5"/>
      <c r="F43" s="5"/>
      <c r="G43" s="6" t="e">
        <f>G23</f>
        <v>#REF!</v>
      </c>
    </row>
    <row r="44" spans="2:11" x14ac:dyDescent="0.25">
      <c r="C44" s="17"/>
      <c r="G44" s="6"/>
    </row>
    <row r="45" spans="2:11" x14ac:dyDescent="0.25">
      <c r="B45" s="25" t="s">
        <v>11</v>
      </c>
      <c r="C45" s="5"/>
      <c r="D45" s="5"/>
      <c r="E45" s="5"/>
      <c r="F45" s="5"/>
    </row>
    <row r="46" spans="2:11" x14ac:dyDescent="0.25">
      <c r="B46" s="5"/>
      <c r="C46" s="5" t="s">
        <v>30</v>
      </c>
      <c r="D46" s="5"/>
      <c r="E46" s="5"/>
      <c r="F46" s="5"/>
      <c r="G46" s="6">
        <v>0</v>
      </c>
    </row>
    <row r="47" spans="2:11" x14ac:dyDescent="0.25">
      <c r="C47" s="5" t="s">
        <v>31</v>
      </c>
      <c r="G47" s="6">
        <v>0</v>
      </c>
    </row>
    <row r="49" spans="2:10" ht="13.8" thickBot="1" x14ac:dyDescent="0.3">
      <c r="B49" s="26" t="s">
        <v>42</v>
      </c>
      <c r="C49" s="26"/>
      <c r="D49" s="24"/>
      <c r="E49" s="24"/>
      <c r="F49" s="24"/>
      <c r="G49" s="7" t="e">
        <f>SUM(G43:G47)</f>
        <v>#REF!</v>
      </c>
    </row>
    <row r="50" spans="2:10" ht="13.8" thickTop="1" x14ac:dyDescent="0.25"/>
    <row r="51" spans="2:10" x14ac:dyDescent="0.25">
      <c r="B51" s="28" t="s">
        <v>32</v>
      </c>
      <c r="C51" s="27" t="str">
        <f>C31</f>
        <v>Setecientos Cuarenta y seis Mil dos cientos cincuenta y nueve con  y 81/100 Nuevos Soles</v>
      </c>
      <c r="D51" s="27"/>
      <c r="E51" s="27"/>
      <c r="F51" s="27"/>
      <c r="G51" s="27"/>
      <c r="H51" s="27"/>
    </row>
    <row r="54" spans="2:10" ht="13.8" thickBot="1" x14ac:dyDescent="0.3"/>
    <row r="55" spans="2:10" x14ac:dyDescent="0.25">
      <c r="B55" s="551" t="s">
        <v>48</v>
      </c>
      <c r="C55" s="552"/>
      <c r="D55" s="552"/>
      <c r="E55" s="552"/>
      <c r="F55" s="552"/>
      <c r="G55" s="552"/>
      <c r="H55" s="553"/>
    </row>
    <row r="56" spans="2:10" ht="13.8" thickBot="1" x14ac:dyDescent="0.3">
      <c r="B56" s="20"/>
      <c r="C56" s="550">
        <f>A23</f>
        <v>0</v>
      </c>
      <c r="D56" s="550"/>
      <c r="E56" s="550"/>
      <c r="F56" s="550"/>
      <c r="G56" s="550"/>
      <c r="H56" s="21"/>
    </row>
    <row r="58" spans="2:10" x14ac:dyDescent="0.25">
      <c r="B58" s="13" t="s">
        <v>20</v>
      </c>
      <c r="C58" s="13"/>
      <c r="D58" s="13"/>
      <c r="E58" s="13"/>
      <c r="F58" s="13"/>
      <c r="G58" s="22" t="e">
        <f>#REF!</f>
        <v>#REF!</v>
      </c>
    </row>
    <row r="59" spans="2:10" x14ac:dyDescent="0.25">
      <c r="B59" s="13" t="s">
        <v>24</v>
      </c>
      <c r="C59" s="13"/>
      <c r="D59" s="13"/>
      <c r="E59" s="13"/>
      <c r="F59" s="13"/>
      <c r="G59" s="22" t="e">
        <f>#REF!</f>
        <v>#REF!</v>
      </c>
      <c r="J59" s="9"/>
    </row>
    <row r="61" spans="2:10" x14ac:dyDescent="0.25">
      <c r="B61" s="5" t="s">
        <v>29</v>
      </c>
      <c r="C61" s="23"/>
      <c r="D61" s="5"/>
      <c r="E61" s="5"/>
      <c r="F61" s="5"/>
      <c r="G61" s="6" t="e">
        <f>SUM(G58:G60)</f>
        <v>#REF!</v>
      </c>
    </row>
    <row r="62" spans="2:10" x14ac:dyDescent="0.25">
      <c r="C62" s="17"/>
      <c r="G62" s="6"/>
    </row>
    <row r="63" spans="2:10" x14ac:dyDescent="0.25">
      <c r="B63" s="25" t="s">
        <v>11</v>
      </c>
      <c r="C63" s="5"/>
      <c r="D63" s="5"/>
      <c r="E63" s="5"/>
      <c r="F63" s="5"/>
    </row>
    <row r="64" spans="2:10" x14ac:dyDescent="0.25">
      <c r="B64" s="5"/>
      <c r="C64" s="5" t="s">
        <v>30</v>
      </c>
      <c r="D64" s="5"/>
      <c r="E64" s="5" t="s">
        <v>46</v>
      </c>
      <c r="F64" s="5"/>
      <c r="G64" s="6" t="e">
        <f>#REF!*0.1</f>
        <v>#REF!</v>
      </c>
    </row>
    <row r="65" spans="2:8" x14ac:dyDescent="0.25">
      <c r="C65" s="5" t="s">
        <v>31</v>
      </c>
      <c r="G65" s="6">
        <v>0</v>
      </c>
    </row>
    <row r="67" spans="2:8" ht="13.8" thickBot="1" x14ac:dyDescent="0.3">
      <c r="B67" s="26" t="s">
        <v>47</v>
      </c>
      <c r="C67" s="26"/>
      <c r="D67" s="24"/>
      <c r="E67" s="24"/>
      <c r="F67" s="24"/>
      <c r="G67" s="7" t="e">
        <f>G61-G64</f>
        <v>#REF!</v>
      </c>
    </row>
    <row r="68" spans="2:8" ht="13.8" thickTop="1" x14ac:dyDescent="0.25"/>
    <row r="69" spans="2:8" x14ac:dyDescent="0.25">
      <c r="B69" s="28" t="s">
        <v>32</v>
      </c>
      <c r="C69" s="27" t="s">
        <v>49</v>
      </c>
      <c r="D69" s="27"/>
      <c r="E69" s="27"/>
      <c r="F69" s="27"/>
      <c r="G69" s="27"/>
      <c r="H69" s="27"/>
    </row>
  </sheetData>
  <mergeCells count="18">
    <mergeCell ref="A1:I1"/>
    <mergeCell ref="A2:I2"/>
    <mergeCell ref="A4:A5"/>
    <mergeCell ref="B4:H5"/>
    <mergeCell ref="D7:G7"/>
    <mergeCell ref="C35:G35"/>
    <mergeCell ref="B55:H55"/>
    <mergeCell ref="C56:G56"/>
    <mergeCell ref="B11:E11"/>
    <mergeCell ref="B34:H34"/>
    <mergeCell ref="I29:I30"/>
    <mergeCell ref="C31:I31"/>
    <mergeCell ref="F9:F10"/>
    <mergeCell ref="G9:H9"/>
    <mergeCell ref="A9:A10"/>
    <mergeCell ref="B9:E10"/>
    <mergeCell ref="A29:A30"/>
    <mergeCell ref="C29:H30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topLeftCell="A7" workbookViewId="0">
      <selection activeCell="J90" sqref="J90"/>
    </sheetView>
  </sheetViews>
  <sheetFormatPr baseColWidth="10" defaultRowHeight="13.2" x14ac:dyDescent="0.25"/>
  <cols>
    <col min="1" max="1" width="10.6640625" customWidth="1"/>
    <col min="5" max="5" width="15.88671875" customWidth="1"/>
    <col min="6" max="6" width="18.109375" customWidth="1"/>
    <col min="7" max="7" width="16.5546875" customWidth="1"/>
    <col min="8" max="8" width="9.88671875" customWidth="1"/>
    <col min="9" max="9" width="2.44140625" customWidth="1"/>
    <col min="10" max="10" width="13" customWidth="1"/>
    <col min="11" max="11" width="12.88671875" bestFit="1" customWidth="1"/>
  </cols>
  <sheetData>
    <row r="1" spans="1:9" ht="15.6" x14ac:dyDescent="0.3">
      <c r="A1" s="555" t="s">
        <v>43</v>
      </c>
      <c r="B1" s="556"/>
      <c r="C1" s="556"/>
      <c r="D1" s="556"/>
      <c r="E1" s="556"/>
      <c r="F1" s="556"/>
      <c r="G1" s="556"/>
      <c r="H1" s="556"/>
      <c r="I1" s="557"/>
    </row>
    <row r="2" spans="1:9" ht="13.8" thickBot="1" x14ac:dyDescent="0.3">
      <c r="A2" s="558" t="s">
        <v>39</v>
      </c>
      <c r="B2" s="550"/>
      <c r="C2" s="550"/>
      <c r="D2" s="550"/>
      <c r="E2" s="550"/>
      <c r="F2" s="550"/>
      <c r="G2" s="550"/>
      <c r="H2" s="550"/>
      <c r="I2" s="559"/>
    </row>
    <row r="4" spans="1:9" ht="12.75" customHeight="1" x14ac:dyDescent="0.25">
      <c r="A4" s="560" t="s">
        <v>7</v>
      </c>
      <c r="B4" s="561" t="e">
        <f>#REF!</f>
        <v>#REF!</v>
      </c>
      <c r="C4" s="561"/>
      <c r="D4" s="561"/>
      <c r="E4" s="561"/>
      <c r="F4" s="561"/>
      <c r="G4" s="561"/>
      <c r="H4" s="561"/>
    </row>
    <row r="5" spans="1:9" ht="53.25" customHeight="1" x14ac:dyDescent="0.25">
      <c r="A5" s="560"/>
      <c r="B5" s="561"/>
      <c r="C5" s="561"/>
      <c r="D5" s="561"/>
      <c r="E5" s="561"/>
      <c r="F5" s="561"/>
      <c r="G5" s="561"/>
      <c r="H5" s="561"/>
    </row>
    <row r="6" spans="1:9" ht="27.75" customHeight="1" x14ac:dyDescent="0.3">
      <c r="A6" s="1" t="s">
        <v>9</v>
      </c>
      <c r="B6" s="1" t="s">
        <v>15</v>
      </c>
      <c r="D6" s="34"/>
      <c r="E6" s="3"/>
      <c r="F6" s="2"/>
    </row>
    <row r="7" spans="1:9" ht="21.75" customHeight="1" x14ac:dyDescent="0.25">
      <c r="A7" s="1" t="s">
        <v>8</v>
      </c>
      <c r="B7" s="34" t="e">
        <f>#REF!</f>
        <v>#REF!</v>
      </c>
      <c r="D7" s="562"/>
      <c r="E7" s="562"/>
      <c r="F7" s="562"/>
      <c r="G7" s="562"/>
    </row>
    <row r="8" spans="1:9" x14ac:dyDescent="0.25">
      <c r="G8" s="1"/>
      <c r="H8" s="1"/>
    </row>
    <row r="9" spans="1:9" x14ac:dyDescent="0.25">
      <c r="A9" s="547" t="s">
        <v>10</v>
      </c>
      <c r="B9" s="547" t="s">
        <v>16</v>
      </c>
      <c r="C9" s="547"/>
      <c r="D9" s="547"/>
      <c r="E9" s="547"/>
      <c r="F9" s="546" t="s">
        <v>17</v>
      </c>
      <c r="G9" s="547" t="s">
        <v>18</v>
      </c>
      <c r="H9" s="547"/>
    </row>
    <row r="10" spans="1:9" x14ac:dyDescent="0.25">
      <c r="A10" s="547"/>
      <c r="B10" s="547"/>
      <c r="C10" s="547"/>
      <c r="D10" s="547"/>
      <c r="E10" s="547"/>
      <c r="F10" s="546"/>
      <c r="G10" s="35" t="s">
        <v>19</v>
      </c>
      <c r="H10" s="35" t="s">
        <v>3</v>
      </c>
    </row>
    <row r="11" spans="1:9" ht="85.5" customHeight="1" x14ac:dyDescent="0.25">
      <c r="A11" s="18" t="s">
        <v>6</v>
      </c>
      <c r="B11" s="554" t="s">
        <v>34</v>
      </c>
      <c r="C11" s="554"/>
      <c r="D11" s="554"/>
      <c r="E11" s="554"/>
      <c r="F11" s="29" t="e">
        <f>#REF!</f>
        <v>#REF!</v>
      </c>
      <c r="G11" s="29" t="e">
        <f>#REF!</f>
        <v>#REF!</v>
      </c>
      <c r="H11" s="30" t="e">
        <f>#REF!</f>
        <v>#REF!</v>
      </c>
    </row>
    <row r="12" spans="1:9" x14ac:dyDescent="0.25">
      <c r="C12" s="11" t="s">
        <v>20</v>
      </c>
      <c r="D12" s="12"/>
      <c r="E12" s="12"/>
      <c r="F12" s="15" t="e">
        <f>#REF!</f>
        <v>#REF!</v>
      </c>
      <c r="G12" s="15" t="e">
        <f>SUM(G11:G11)</f>
        <v>#REF!</v>
      </c>
      <c r="H12" s="16" t="e">
        <f>G12/F12</f>
        <v>#REF!</v>
      </c>
    </row>
    <row r="13" spans="1:9" x14ac:dyDescent="0.25">
      <c r="C13" s="11" t="s">
        <v>21</v>
      </c>
      <c r="D13" s="12"/>
      <c r="E13" s="12"/>
      <c r="F13" s="31" t="e">
        <f>F12*0.075</f>
        <v>#REF!</v>
      </c>
      <c r="G13" s="31" t="e">
        <f>G12*0.075</f>
        <v>#REF!</v>
      </c>
      <c r="H13" s="32"/>
    </row>
    <row r="14" spans="1:9" x14ac:dyDescent="0.25">
      <c r="C14" s="11" t="s">
        <v>22</v>
      </c>
      <c r="D14" s="12"/>
      <c r="E14" s="12"/>
      <c r="F14" s="31" t="e">
        <f>F12*0.05</f>
        <v>#REF!</v>
      </c>
      <c r="G14" s="31" t="e">
        <f>G12*0.05</f>
        <v>#REF!</v>
      </c>
      <c r="H14" s="32"/>
    </row>
    <row r="15" spans="1:9" x14ac:dyDescent="0.25">
      <c r="C15" s="11" t="s">
        <v>23</v>
      </c>
      <c r="D15" s="12"/>
      <c r="E15" s="12"/>
      <c r="F15" s="15" t="e">
        <f>SUM(F12:F14)</f>
        <v>#REF!</v>
      </c>
      <c r="G15" s="15" t="e">
        <f>SUM(G12:G14)</f>
        <v>#REF!</v>
      </c>
      <c r="H15" s="16"/>
    </row>
    <row r="16" spans="1:9" x14ac:dyDescent="0.25">
      <c r="C16" s="11" t="s">
        <v>24</v>
      </c>
      <c r="D16" s="12"/>
      <c r="E16" s="12"/>
      <c r="F16" s="31" t="e">
        <f>F15*0.18+0.01</f>
        <v>#REF!</v>
      </c>
      <c r="G16" s="31" t="e">
        <f>G15*0.18</f>
        <v>#REF!</v>
      </c>
      <c r="H16" s="32"/>
    </row>
    <row r="17" spans="1:11" x14ac:dyDescent="0.25">
      <c r="C17" s="13"/>
      <c r="F17" s="31" t="e">
        <f>SUM(F15:F16)-0.01</f>
        <v>#REF!</v>
      </c>
      <c r="G17" s="31" t="e">
        <f>SUM(G15:G16)+0.01</f>
        <v>#REF!</v>
      </c>
      <c r="H17" s="32"/>
    </row>
    <row r="18" spans="1:11" x14ac:dyDescent="0.25">
      <c r="C18" s="11" t="s">
        <v>25</v>
      </c>
      <c r="D18" s="12"/>
      <c r="E18" s="12"/>
      <c r="F18" s="15" t="e">
        <f>F17*1</f>
        <v>#REF!</v>
      </c>
      <c r="G18" s="15" t="e">
        <f>G17*1</f>
        <v>#REF!</v>
      </c>
      <c r="H18" s="16"/>
      <c r="K18" s="8"/>
    </row>
    <row r="19" spans="1:11" x14ac:dyDescent="0.25">
      <c r="C19" s="14" t="s">
        <v>38</v>
      </c>
      <c r="D19" s="14"/>
      <c r="E19" s="14"/>
      <c r="F19" s="15" t="e">
        <f>F18</f>
        <v>#REF!</v>
      </c>
      <c r="G19" s="15"/>
      <c r="H19" s="16"/>
      <c r="K19" s="8"/>
    </row>
    <row r="20" spans="1:11" x14ac:dyDescent="0.25">
      <c r="C20" s="14" t="s">
        <v>35</v>
      </c>
      <c r="D20" s="33"/>
      <c r="E20" s="33"/>
      <c r="F20" s="15" t="e">
        <f>#REF!</f>
        <v>#REF!</v>
      </c>
      <c r="G20" s="15" t="e">
        <f>G18</f>
        <v>#REF!</v>
      </c>
      <c r="H20" s="16">
        <v>0</v>
      </c>
      <c r="K20" s="8"/>
    </row>
    <row r="21" spans="1:11" x14ac:dyDescent="0.25">
      <c r="C21" s="11"/>
      <c r="D21" s="12"/>
      <c r="E21" s="12"/>
      <c r="F21" s="15"/>
      <c r="G21" s="15"/>
      <c r="H21" s="16"/>
      <c r="K21" s="8"/>
    </row>
    <row r="22" spans="1:11" x14ac:dyDescent="0.25">
      <c r="C22" s="14" t="s">
        <v>37</v>
      </c>
      <c r="D22" s="12"/>
      <c r="E22" s="12"/>
      <c r="F22" s="15" t="e">
        <f>SUM(F19:F20)</f>
        <v>#REF!</v>
      </c>
      <c r="H22" s="16"/>
      <c r="K22" s="8"/>
    </row>
    <row r="23" spans="1:11" x14ac:dyDescent="0.25">
      <c r="C23" s="14" t="s">
        <v>36</v>
      </c>
      <c r="D23" s="12"/>
      <c r="E23" s="12"/>
      <c r="F23" s="15"/>
      <c r="G23" s="15" t="e">
        <f>G20</f>
        <v>#REF!</v>
      </c>
      <c r="H23" s="16" t="e">
        <f>G23/F22</f>
        <v>#REF!</v>
      </c>
      <c r="J23" s="9"/>
    </row>
    <row r="24" spans="1:11" x14ac:dyDescent="0.25">
      <c r="D24" s="17"/>
      <c r="I24" s="6"/>
      <c r="J24" s="9"/>
    </row>
    <row r="25" spans="1:11" hidden="1" x14ac:dyDescent="0.25">
      <c r="C25" s="5" t="s">
        <v>11</v>
      </c>
      <c r="D25" s="5"/>
      <c r="E25" s="5"/>
      <c r="F25" s="5"/>
      <c r="G25" s="5"/>
    </row>
    <row r="26" spans="1:11" ht="13.8" hidden="1" thickBot="1" x14ac:dyDescent="0.3">
      <c r="C26" s="5"/>
      <c r="D26" s="5" t="s">
        <v>12</v>
      </c>
      <c r="E26" s="5"/>
      <c r="F26" s="5"/>
      <c r="G26" s="5"/>
      <c r="I26" s="7">
        <v>0</v>
      </c>
    </row>
    <row r="27" spans="1:11" hidden="1" x14ac:dyDescent="0.25"/>
    <row r="28" spans="1:11" hidden="1" x14ac:dyDescent="0.25"/>
    <row r="29" spans="1:11" ht="13.8" hidden="1" thickBot="1" x14ac:dyDescent="0.3">
      <c r="A29" s="548"/>
      <c r="B29" s="4"/>
      <c r="C29" s="549" t="s">
        <v>13</v>
      </c>
      <c r="D29" s="549"/>
      <c r="E29" s="549"/>
      <c r="F29" s="549"/>
      <c r="G29" s="549"/>
      <c r="H29" s="549"/>
      <c r="I29" s="544">
        <f>F23-I26</f>
        <v>0</v>
      </c>
    </row>
    <row r="30" spans="1:11" ht="13.8" hidden="1" thickBot="1" x14ac:dyDescent="0.3">
      <c r="A30" s="548"/>
      <c r="B30" s="4"/>
      <c r="C30" s="549"/>
      <c r="D30" s="549"/>
      <c r="E30" s="549"/>
      <c r="F30" s="549"/>
      <c r="G30" s="549"/>
      <c r="H30" s="549"/>
      <c r="I30" s="544"/>
    </row>
    <row r="31" spans="1:11" x14ac:dyDescent="0.25">
      <c r="B31" s="19" t="s">
        <v>26</v>
      </c>
      <c r="C31" s="545" t="s">
        <v>40</v>
      </c>
      <c r="D31" s="545"/>
      <c r="E31" s="545"/>
      <c r="F31" s="545"/>
      <c r="G31" s="545"/>
      <c r="H31" s="545"/>
      <c r="I31" s="545"/>
      <c r="J31" s="8"/>
    </row>
    <row r="33" spans="2:11" ht="13.8" thickBot="1" x14ac:dyDescent="0.3">
      <c r="J33" s="10"/>
      <c r="K33" s="9"/>
    </row>
    <row r="34" spans="2:11" x14ac:dyDescent="0.25">
      <c r="B34" s="551" t="s">
        <v>14</v>
      </c>
      <c r="C34" s="552"/>
      <c r="D34" s="552"/>
      <c r="E34" s="552"/>
      <c r="F34" s="552"/>
      <c r="G34" s="552"/>
      <c r="H34" s="553"/>
    </row>
    <row r="35" spans="2:11" ht="13.8" thickBot="1" x14ac:dyDescent="0.3">
      <c r="B35" s="20"/>
      <c r="C35" s="550" t="str">
        <f>A2</f>
        <v>Del 01 de Setiembre   Al 30 de Setiembre del 2014</v>
      </c>
      <c r="D35" s="550"/>
      <c r="E35" s="550"/>
      <c r="F35" s="550"/>
      <c r="G35" s="550"/>
      <c r="H35" s="21"/>
    </row>
    <row r="37" spans="2:11" x14ac:dyDescent="0.25">
      <c r="B37" s="13" t="s">
        <v>20</v>
      </c>
      <c r="C37" s="13"/>
      <c r="D37" s="13"/>
      <c r="E37" s="13"/>
      <c r="F37" s="13"/>
      <c r="G37" s="22" t="e">
        <f>G12</f>
        <v>#REF!</v>
      </c>
    </row>
    <row r="38" spans="2:11" x14ac:dyDescent="0.25">
      <c r="B38" s="13" t="s">
        <v>27</v>
      </c>
      <c r="C38" s="13"/>
      <c r="D38" s="13"/>
      <c r="E38" s="13"/>
      <c r="F38" s="13"/>
      <c r="G38" s="22" t="e">
        <f>G13</f>
        <v>#REF!</v>
      </c>
    </row>
    <row r="39" spans="2:11" x14ac:dyDescent="0.25">
      <c r="B39" s="13" t="s">
        <v>28</v>
      </c>
      <c r="C39" s="13"/>
      <c r="D39" s="13"/>
      <c r="E39" s="13"/>
      <c r="F39" s="13"/>
      <c r="G39" s="22" t="e">
        <f>G14</f>
        <v>#REF!</v>
      </c>
    </row>
    <row r="40" spans="2:11" x14ac:dyDescent="0.25">
      <c r="B40" s="13" t="s">
        <v>23</v>
      </c>
      <c r="C40" s="13"/>
      <c r="D40" s="13"/>
      <c r="E40" s="13"/>
      <c r="F40" s="13"/>
      <c r="G40" s="22" t="e">
        <f>G15</f>
        <v>#REF!</v>
      </c>
    </row>
    <row r="41" spans="2:11" x14ac:dyDescent="0.25">
      <c r="B41" s="13" t="s">
        <v>24</v>
      </c>
      <c r="C41" s="13"/>
      <c r="D41" s="13"/>
      <c r="E41" s="13"/>
      <c r="F41" s="13"/>
      <c r="G41" s="22" t="e">
        <f>G16</f>
        <v>#REF!</v>
      </c>
    </row>
    <row r="43" spans="2:11" x14ac:dyDescent="0.25">
      <c r="B43" s="5" t="s">
        <v>29</v>
      </c>
      <c r="C43" s="23"/>
      <c r="D43" s="5"/>
      <c r="E43" s="5"/>
      <c r="F43" s="5"/>
      <c r="G43" s="6" t="e">
        <f>G23</f>
        <v>#REF!</v>
      </c>
    </row>
    <row r="44" spans="2:11" x14ac:dyDescent="0.25">
      <c r="C44" s="17"/>
      <c r="G44" s="6"/>
    </row>
    <row r="45" spans="2:11" x14ac:dyDescent="0.25">
      <c r="B45" s="25" t="s">
        <v>11</v>
      </c>
      <c r="C45" s="5"/>
      <c r="D45" s="5"/>
      <c r="E45" s="5"/>
      <c r="F45" s="5"/>
    </row>
    <row r="46" spans="2:11" x14ac:dyDescent="0.25">
      <c r="B46" s="5"/>
      <c r="C46" s="5" t="s">
        <v>30</v>
      </c>
      <c r="D46" s="5"/>
      <c r="E46" s="5"/>
      <c r="F46" s="5"/>
      <c r="G46" s="6">
        <v>0</v>
      </c>
    </row>
    <row r="47" spans="2:11" x14ac:dyDescent="0.25">
      <c r="C47" s="5" t="s">
        <v>31</v>
      </c>
      <c r="G47" s="6">
        <v>0</v>
      </c>
    </row>
    <row r="49" spans="2:8" ht="13.8" thickBot="1" x14ac:dyDescent="0.3">
      <c r="B49" s="26" t="s">
        <v>42</v>
      </c>
      <c r="C49" s="26"/>
      <c r="D49" s="24"/>
      <c r="E49" s="24"/>
      <c r="F49" s="24"/>
      <c r="G49" s="7" t="e">
        <f>SUM(G43:G47)</f>
        <v>#REF!</v>
      </c>
    </row>
    <row r="50" spans="2:8" ht="13.8" thickTop="1" x14ac:dyDescent="0.25"/>
    <row r="51" spans="2:8" x14ac:dyDescent="0.25">
      <c r="B51" s="28" t="s">
        <v>32</v>
      </c>
      <c r="C51" s="27" t="str">
        <f>C31</f>
        <v>Cuatrocientos Un Mil Tres cientos cuatro con  y 81/100 Nuevos Soles</v>
      </c>
      <c r="D51" s="27"/>
      <c r="E51" s="27"/>
      <c r="F51" s="27"/>
      <c r="G51" s="27"/>
      <c r="H51" s="27"/>
    </row>
  </sheetData>
  <mergeCells count="16">
    <mergeCell ref="C35:G35"/>
    <mergeCell ref="B11:E11"/>
    <mergeCell ref="A29:A30"/>
    <mergeCell ref="C29:H30"/>
    <mergeCell ref="A1:I1"/>
    <mergeCell ref="A2:I2"/>
    <mergeCell ref="A4:A5"/>
    <mergeCell ref="B4:H5"/>
    <mergeCell ref="D7:G7"/>
    <mergeCell ref="I29:I30"/>
    <mergeCell ref="C31:I31"/>
    <mergeCell ref="B34:H34"/>
    <mergeCell ref="A9:A10"/>
    <mergeCell ref="B9:E10"/>
    <mergeCell ref="F9:F10"/>
    <mergeCell ref="G9:H9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0"/>
  <sheetViews>
    <sheetView workbookViewId="0">
      <selection activeCell="J21" sqref="J21"/>
    </sheetView>
  </sheetViews>
  <sheetFormatPr baseColWidth="10" defaultRowHeight="13.2" x14ac:dyDescent="0.25"/>
  <cols>
    <col min="1" max="1" width="5.44140625" customWidth="1"/>
    <col min="2" max="3" width="10.33203125" customWidth="1"/>
    <col min="4" max="4" width="9.88671875" customWidth="1"/>
    <col min="5" max="6" width="6.88671875" customWidth="1"/>
    <col min="7" max="7" width="9.6640625" customWidth="1"/>
    <col min="8" max="9" width="6.109375" style="54" customWidth="1"/>
    <col min="10" max="10" width="10.33203125" customWidth="1"/>
    <col min="11" max="11" width="6.5546875" customWidth="1"/>
    <col min="12" max="12" width="7" customWidth="1"/>
    <col min="13" max="13" width="10.109375" customWidth="1"/>
    <col min="14" max="15" width="6.33203125" customWidth="1"/>
  </cols>
  <sheetData>
    <row r="1" spans="1:23" ht="29.25" customHeight="1" x14ac:dyDescent="0.25">
      <c r="A1" s="563" t="s">
        <v>83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5"/>
    </row>
    <row r="2" spans="1:23" x14ac:dyDescent="0.25">
      <c r="A2" s="568" t="s">
        <v>70</v>
      </c>
      <c r="B2" s="569"/>
      <c r="C2" s="572" t="s">
        <v>57</v>
      </c>
      <c r="D2" s="570" t="s">
        <v>71</v>
      </c>
      <c r="E2" s="570"/>
      <c r="F2" s="570"/>
      <c r="G2" s="570"/>
      <c r="H2" s="570"/>
      <c r="I2" s="570"/>
      <c r="J2" s="571" t="s">
        <v>72</v>
      </c>
      <c r="K2" s="571"/>
      <c r="L2" s="571"/>
      <c r="M2" s="571"/>
      <c r="N2" s="571"/>
      <c r="O2" s="571"/>
    </row>
    <row r="3" spans="1:23" x14ac:dyDescent="0.25">
      <c r="A3" s="5"/>
      <c r="B3" s="566" t="s">
        <v>82</v>
      </c>
      <c r="C3" s="573"/>
      <c r="D3" s="570" t="s">
        <v>73</v>
      </c>
      <c r="E3" s="570"/>
      <c r="F3" s="570"/>
      <c r="G3" s="575" t="s">
        <v>74</v>
      </c>
      <c r="H3" s="570"/>
      <c r="I3" s="570"/>
      <c r="J3" s="571" t="s">
        <v>73</v>
      </c>
      <c r="K3" s="571"/>
      <c r="L3" s="571"/>
      <c r="M3" s="571" t="s">
        <v>74</v>
      </c>
      <c r="N3" s="571"/>
      <c r="O3" s="571"/>
    </row>
    <row r="4" spans="1:23" x14ac:dyDescent="0.25">
      <c r="A4" s="83"/>
      <c r="B4" s="567"/>
      <c r="C4" s="574"/>
      <c r="D4" s="70" t="s">
        <v>75</v>
      </c>
      <c r="E4" s="70" t="s">
        <v>76</v>
      </c>
      <c r="F4" s="70" t="s">
        <v>77</v>
      </c>
      <c r="G4" s="70" t="s">
        <v>75</v>
      </c>
      <c r="H4" s="71" t="s">
        <v>76</v>
      </c>
      <c r="I4" s="71" t="s">
        <v>77</v>
      </c>
      <c r="J4" s="70" t="s">
        <v>75</v>
      </c>
      <c r="K4" s="72" t="s">
        <v>76</v>
      </c>
      <c r="L4" s="70" t="s">
        <v>77</v>
      </c>
      <c r="M4" s="70" t="s">
        <v>75</v>
      </c>
      <c r="N4" s="70" t="s">
        <v>76</v>
      </c>
      <c r="O4" s="70" t="s">
        <v>77</v>
      </c>
    </row>
    <row r="5" spans="1:23" ht="31.5" customHeight="1" x14ac:dyDescent="0.25">
      <c r="A5" s="95">
        <v>1</v>
      </c>
      <c r="B5" s="94" t="s">
        <v>89</v>
      </c>
      <c r="C5" s="75" t="s">
        <v>59</v>
      </c>
      <c r="D5" s="77">
        <v>21540.34</v>
      </c>
      <c r="E5" s="76">
        <f t="shared" ref="E5:E10" si="0">+D5/$D$11</f>
        <v>1.0024922289462503E-2</v>
      </c>
      <c r="F5" s="96">
        <f>+E5</f>
        <v>1.0024922289462503E-2</v>
      </c>
      <c r="G5" s="77">
        <v>212361.44999999998</v>
      </c>
      <c r="H5" s="76">
        <f>+G5/$D$11</f>
        <v>9.8833492578463314E-2</v>
      </c>
      <c r="I5" s="90">
        <f>H5</f>
        <v>9.8833492578463314E-2</v>
      </c>
      <c r="J5" s="77">
        <v>21540.34</v>
      </c>
      <c r="K5" s="76">
        <f t="shared" ref="K5:K10" si="1">+J5/$D$11</f>
        <v>1.0024922289462503E-2</v>
      </c>
      <c r="L5" s="96">
        <f>+K5</f>
        <v>1.0024922289462503E-2</v>
      </c>
      <c r="M5" s="77">
        <v>212361.44999999998</v>
      </c>
      <c r="N5" s="89">
        <f>+M5/J$11</f>
        <v>9.8833492578463314E-2</v>
      </c>
      <c r="O5" s="91">
        <f>N5</f>
        <v>9.8833492578463314E-2</v>
      </c>
      <c r="R5" s="92">
        <v>21540.34</v>
      </c>
      <c r="S5">
        <v>294239.47000000003</v>
      </c>
      <c r="T5">
        <v>435698.42000000004</v>
      </c>
      <c r="U5">
        <v>434098.66000000003</v>
      </c>
      <c r="V5">
        <v>529096.95999999996</v>
      </c>
      <c r="W5">
        <v>434005.16</v>
      </c>
    </row>
    <row r="6" spans="1:23" ht="31.5" customHeight="1" x14ac:dyDescent="0.25">
      <c r="A6" s="73">
        <v>2</v>
      </c>
      <c r="B6" s="74" t="s">
        <v>90</v>
      </c>
      <c r="C6" s="75" t="s">
        <v>60</v>
      </c>
      <c r="D6" s="77">
        <v>294239.47000000003</v>
      </c>
      <c r="E6" s="76">
        <f t="shared" si="0"/>
        <v>0.13693970574478553</v>
      </c>
      <c r="F6" s="96">
        <f>+E6+F5</f>
        <v>0.14696462803424803</v>
      </c>
      <c r="G6" s="77"/>
      <c r="H6" s="76"/>
      <c r="I6" s="90"/>
      <c r="J6" s="77">
        <v>294239.47000000003</v>
      </c>
      <c r="K6" s="76">
        <f t="shared" si="1"/>
        <v>0.13693970574478553</v>
      </c>
      <c r="L6" s="96">
        <f>+K6+L5</f>
        <v>0.14696462803424803</v>
      </c>
      <c r="M6" s="80"/>
      <c r="N6" s="89"/>
      <c r="O6" s="91"/>
      <c r="R6" s="92">
        <v>21540.34</v>
      </c>
    </row>
    <row r="7" spans="1:23" ht="31.5" customHeight="1" x14ac:dyDescent="0.25">
      <c r="A7" s="95">
        <v>3</v>
      </c>
      <c r="B7" s="94" t="s">
        <v>78</v>
      </c>
      <c r="C7" s="78" t="s">
        <v>63</v>
      </c>
      <c r="D7" s="79">
        <v>435698.42000000004</v>
      </c>
      <c r="E7" s="76">
        <f t="shared" si="0"/>
        <v>0.20277501664976483</v>
      </c>
      <c r="F7" s="96">
        <f>+E7+F6</f>
        <v>0.34973964468401286</v>
      </c>
      <c r="G7" s="77"/>
      <c r="H7" s="76"/>
      <c r="I7" s="90"/>
      <c r="J7" s="79">
        <v>435698.42000000004</v>
      </c>
      <c r="K7" s="76">
        <f t="shared" si="1"/>
        <v>0.20277501664976483</v>
      </c>
      <c r="L7" s="96">
        <f>+K7+L6</f>
        <v>0.34973964468401286</v>
      </c>
      <c r="M7" s="80"/>
      <c r="N7" s="89"/>
      <c r="O7" s="91"/>
      <c r="R7">
        <v>294239.47000000003</v>
      </c>
    </row>
    <row r="8" spans="1:23" ht="31.5" customHeight="1" x14ac:dyDescent="0.25">
      <c r="A8" s="73">
        <v>4</v>
      </c>
      <c r="B8" s="74" t="s">
        <v>79</v>
      </c>
      <c r="C8" s="78" t="s">
        <v>61</v>
      </c>
      <c r="D8" s="79">
        <v>434098.66000000003</v>
      </c>
      <c r="E8" s="76">
        <f t="shared" si="0"/>
        <v>0.20203048477692576</v>
      </c>
      <c r="F8" s="96">
        <f>+E8+F7</f>
        <v>0.55177012946093862</v>
      </c>
      <c r="G8" s="77"/>
      <c r="H8" s="76"/>
      <c r="I8" s="90"/>
      <c r="J8" s="79">
        <v>434098.66000000003</v>
      </c>
      <c r="K8" s="76">
        <f t="shared" si="1"/>
        <v>0.20203048477692576</v>
      </c>
      <c r="L8" s="96">
        <f>+K8+L7</f>
        <v>0.55177012946093862</v>
      </c>
      <c r="M8" s="80"/>
      <c r="N8" s="89"/>
      <c r="O8" s="91"/>
      <c r="R8">
        <v>435698.42000000004</v>
      </c>
    </row>
    <row r="9" spans="1:23" ht="31.5" customHeight="1" x14ac:dyDescent="0.25">
      <c r="A9" s="95">
        <v>5</v>
      </c>
      <c r="B9" s="94" t="s">
        <v>80</v>
      </c>
      <c r="C9" s="75" t="s">
        <v>62</v>
      </c>
      <c r="D9" s="77">
        <v>529096.95999999996</v>
      </c>
      <c r="E9" s="76">
        <f t="shared" si="0"/>
        <v>0.24624290552474332</v>
      </c>
      <c r="F9" s="96">
        <f>+E9+F8</f>
        <v>0.79801303498568199</v>
      </c>
      <c r="G9" s="77"/>
      <c r="H9" s="76"/>
      <c r="I9" s="90"/>
      <c r="J9" s="77">
        <v>529096.95999999996</v>
      </c>
      <c r="K9" s="76">
        <f t="shared" si="1"/>
        <v>0.24624290552474332</v>
      </c>
      <c r="L9" s="96">
        <f>+K9+L8</f>
        <v>0.79801303498568199</v>
      </c>
      <c r="M9" s="80"/>
      <c r="N9" s="89"/>
      <c r="O9" s="91"/>
      <c r="R9">
        <v>434098.66000000003</v>
      </c>
    </row>
    <row r="10" spans="1:23" ht="31.5" customHeight="1" x14ac:dyDescent="0.25">
      <c r="A10" s="73">
        <v>6</v>
      </c>
      <c r="B10" s="74" t="s">
        <v>81</v>
      </c>
      <c r="C10" s="75" t="s">
        <v>68</v>
      </c>
      <c r="D10" s="77">
        <v>434005.15</v>
      </c>
      <c r="E10" s="76">
        <f t="shared" si="0"/>
        <v>0.20198696501431812</v>
      </c>
      <c r="F10" s="96">
        <f>+E10+F9</f>
        <v>1</v>
      </c>
      <c r="G10" s="81"/>
      <c r="H10" s="76"/>
      <c r="I10" s="90"/>
      <c r="J10" s="77">
        <v>434005.15</v>
      </c>
      <c r="K10" s="76">
        <f t="shared" si="1"/>
        <v>0.20198696501431812</v>
      </c>
      <c r="L10" s="96">
        <f>+K10+L9</f>
        <v>1</v>
      </c>
      <c r="M10" s="80"/>
      <c r="N10" s="89"/>
      <c r="O10" s="91"/>
      <c r="R10">
        <v>529096.95999999996</v>
      </c>
    </row>
    <row r="11" spans="1:23" ht="14.4" x14ac:dyDescent="0.3">
      <c r="A11" s="82"/>
      <c r="B11" s="82"/>
      <c r="C11" s="82"/>
      <c r="D11" s="84">
        <f>SUM(D5:D10)</f>
        <v>2148679</v>
      </c>
      <c r="E11" s="85"/>
      <c r="F11" s="86"/>
      <c r="G11" s="84">
        <f>SUM(G5:G10)</f>
        <v>212361.44999999998</v>
      </c>
      <c r="H11" s="87"/>
      <c r="I11" s="87"/>
      <c r="J11" s="84">
        <f>SUM(J5:J10)</f>
        <v>2148679</v>
      </c>
      <c r="K11" s="88"/>
      <c r="L11" s="86"/>
      <c r="M11" s="84">
        <f>SUM(M5:M10)</f>
        <v>212361.44999999998</v>
      </c>
      <c r="N11" s="82"/>
      <c r="O11" s="82"/>
      <c r="P11" s="69"/>
      <c r="R11">
        <v>434005.16</v>
      </c>
    </row>
    <row r="15" spans="1:23" x14ac:dyDescent="0.25">
      <c r="F15">
        <v>129606.67</v>
      </c>
    </row>
    <row r="16" spans="1:23" x14ac:dyDescent="0.25">
      <c r="F16">
        <v>492009.27</v>
      </c>
    </row>
    <row r="17" spans="6:6" x14ac:dyDescent="0.25">
      <c r="F17">
        <v>531275.32999999996</v>
      </c>
    </row>
    <row r="18" spans="6:6" x14ac:dyDescent="0.25">
      <c r="F18">
        <v>656816.27</v>
      </c>
    </row>
    <row r="19" spans="6:6" x14ac:dyDescent="0.25">
      <c r="F19">
        <v>502902.7</v>
      </c>
    </row>
    <row r="20" spans="6:6" x14ac:dyDescent="0.25">
      <c r="F20">
        <v>407630.11</v>
      </c>
    </row>
  </sheetData>
  <mergeCells count="10">
    <mergeCell ref="A1:O1"/>
    <mergeCell ref="B3:B4"/>
    <mergeCell ref="A2:B2"/>
    <mergeCell ref="D2:I2"/>
    <mergeCell ref="J2:O2"/>
    <mergeCell ref="C2:C4"/>
    <mergeCell ref="D3:F3"/>
    <mergeCell ref="G3:I3"/>
    <mergeCell ref="J3:L3"/>
    <mergeCell ref="M3:O3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28</vt:i4>
      </vt:variant>
    </vt:vector>
  </HeadingPairs>
  <TitlesOfParts>
    <vt:vector size="50" baseType="lpstr">
      <vt:lpstr>res %</vt:lpstr>
      <vt:lpstr>FT</vt:lpstr>
      <vt:lpstr>PRESUPUESTO</vt:lpstr>
      <vt:lpstr>CALEN. PROG.</vt:lpstr>
      <vt:lpstr>METRADOS</vt:lpstr>
      <vt:lpstr>CALEN. VALO.</vt:lpstr>
      <vt:lpstr>VAL. MENSUAL</vt:lpstr>
      <vt:lpstr>PROG VS. EJEC</vt:lpstr>
      <vt:lpstr>CONTROL GEN. AVAN. OBRA.</vt:lpstr>
      <vt:lpstr>CURVA S</vt:lpstr>
      <vt:lpstr>CONTROL AVAN. FISICO</vt:lpstr>
      <vt:lpstr>CONTROL FINANCIERO</vt:lpstr>
      <vt:lpstr>RESUMEN VAL.</vt:lpstr>
      <vt:lpstr>R.F.C</vt:lpstr>
      <vt:lpstr>R PAGO MENSUAL</vt:lpstr>
      <vt:lpstr>PAGOS ACUMULADOS</vt:lpstr>
      <vt:lpstr>CONTROL DE PAGOS</vt:lpstr>
      <vt:lpstr>RH-EM</vt:lpstr>
      <vt:lpstr>resumen 3</vt:lpstr>
      <vt:lpstr>resumen 2</vt:lpstr>
      <vt:lpstr>Hoja2</vt:lpstr>
      <vt:lpstr>PROGRAMADO</vt:lpstr>
      <vt:lpstr>'CALEN. PROG.'!Área_de_impresión</vt:lpstr>
      <vt:lpstr>'CALEN. VALO.'!Área_de_impresión</vt:lpstr>
      <vt:lpstr>'CONTROL AVAN. FISICO'!Área_de_impresión</vt:lpstr>
      <vt:lpstr>'CONTROL DE PAGOS'!Área_de_impresión</vt:lpstr>
      <vt:lpstr>'CONTROL FINANCIERO'!Área_de_impresión</vt:lpstr>
      <vt:lpstr>'CONTROL GEN. AVAN. OBRA.'!Área_de_impresión</vt:lpstr>
      <vt:lpstr>'CURVA S'!Área_de_impresión</vt:lpstr>
      <vt:lpstr>FT!Área_de_impresión</vt:lpstr>
      <vt:lpstr>METRADOS!Área_de_impresión</vt:lpstr>
      <vt:lpstr>'PAGOS ACUMULADOS'!Área_de_impresión</vt:lpstr>
      <vt:lpstr>PRESUPUESTO!Área_de_impresión</vt:lpstr>
      <vt:lpstr>'PROG VS. EJEC'!Área_de_impresión</vt:lpstr>
      <vt:lpstr>'R PAGO MENSUAL'!Área_de_impresión</vt:lpstr>
      <vt:lpstr>R.F.C!Área_de_impresión</vt:lpstr>
      <vt:lpstr>'res %'!Área_de_impresión</vt:lpstr>
      <vt:lpstr>'RESUMEN VAL.'!Área_de_impresión</vt:lpstr>
      <vt:lpstr>'RH-EM'!Área_de_impresión</vt:lpstr>
      <vt:lpstr>'VAL. MENSUAL'!Área_de_impresión</vt:lpstr>
      <vt:lpstr>'CALEN. PROG.'!Títulos_a_imprimir</vt:lpstr>
      <vt:lpstr>'CALEN. VALO.'!Títulos_a_imprimir</vt:lpstr>
      <vt:lpstr>'CONTROL AVAN. FISICO'!Títulos_a_imprimir</vt:lpstr>
      <vt:lpstr>'CURVA S'!Títulos_a_imprimir</vt:lpstr>
      <vt:lpstr>FT!Títulos_a_imprimir</vt:lpstr>
      <vt:lpstr>METRADOS!Títulos_a_imprimir</vt:lpstr>
      <vt:lpstr>PRESUPUESTO!Títulos_a_imprimir</vt:lpstr>
      <vt:lpstr>'PROG VS. EJEC'!Títulos_a_imprimir</vt:lpstr>
      <vt:lpstr>'res %'!Títulos_a_imprimir</vt:lpstr>
      <vt:lpstr>'VAL. MENSUAL'!Títulos_a_imprimir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JACK MASTIN NAPOLITANO</cp:lastModifiedBy>
  <cp:lastPrinted>2026-07-31T16:12:33Z</cp:lastPrinted>
  <dcterms:created xsi:type="dcterms:W3CDTF">2007-09-07T01:45:38Z</dcterms:created>
  <dcterms:modified xsi:type="dcterms:W3CDTF">2026-07-31T17:27:32Z</dcterms:modified>
</cp:coreProperties>
</file>